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ickets" sheetId="2" state="visible" r:id="rId4"/>
    <sheet name="Epics" sheetId="3" state="visible" r:id="rId5"/>
    <sheet name="Screens" sheetId="4" state="visible" r:id="rId6"/>
  </sheets>
  <definedNames>
    <definedName function="false" hidden="true" localSheetId="3" name="_xlnm._FilterDatabase" vbProcedure="false">Screens!$A$1:$D$240</definedName>
    <definedName function="false" hidden="true" localSheetId="1" name="_xlnm._FilterDatabase" vbProcedure="false">Tickets!$A$1:$U$148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<sst xmlns="http://schemas.openxmlformats.org/spreadsheetml/2006/main" count="3159" uniqueCount="1407">
  <si>
    <t xml:space="preserve">Student Kare — full build backlog</t>
  </si>
  <si>
    <t xml:space="preserve">Every screen on the design canvas (StudentKare — Onboarding &amp; Auth Flows, 239 artboards on 9 pages), split into buildable tickets. Built 29 Sep 2026.</t>
  </si>
  <si>
    <t xml:space="preserve">How to use</t>
  </si>
  <si>
    <t xml:space="preserve">• Tickets tab: one row per ticket. Edit only Status, Owner and Sprint (yellow headers).</t>
  </si>
  <si>
    <t xml:space="preserve">• Status: To do · In progress · In review · Done · Blocked.</t>
  </si>
  <si>
    <t xml:space="preserve">• Priority: P0 = needed for launch · P1 = launch month · P2 = later. Phase: 0 Foundations → 1 Launch → 2 Launch month → 3 Later.</t>
  </si>
  <si>
    <t xml:space="preserve">• Tier (from DESIGN.md): 1 = safety-critical, needs named design + clinical/legal review before build · 2 = core flow · 3 = composable from components.</t>
  </si>
  <si>
    <t xml:space="preserve">• Estimate is in story points (1, 2, 3, 5, 8) and is a first guess for planning — re-point in refinement.</t>
  </si>
  <si>
    <t xml:space="preserve">• Depends on: ticket IDs that should be done first. Screens: exact artboard names on the canvas (and in the screens pack).</t>
  </si>
  <si>
    <t xml:space="preserve">• Screens tab: every artboard → the ticket that builds it. Epics tab: totals per epic.</t>
  </si>
  <si>
    <t xml:space="preserve">• This replaces studentkare-engineering-backlog.xlsx: its 41 tickets are folded in (see "Replaces" column). Tickets do not check what already exists in the repo — confirm in refinement.</t>
  </si>
  <si>
    <t xml:space="preserve">• Jira/Linear import: use studentkare-full-backlog.csv from the same folder.</t>
  </si>
  <si>
    <t xml:space="preserve">Summary (updates as you edit Status)</t>
  </si>
  <si>
    <t xml:space="preserve">Tickets</t>
  </si>
  <si>
    <t xml:space="preserve">Points</t>
  </si>
  <si>
    <t xml:space="preserve">Done</t>
  </si>
  <si>
    <t xml:space="preserve">Open</t>
  </si>
  <si>
    <t xml:space="preserve">% done (tickets)</t>
  </si>
  <si>
    <t xml:space="preserve">P0</t>
  </si>
  <si>
    <t xml:space="preserve">P1</t>
  </si>
  <si>
    <t xml:space="preserve">P2</t>
  </si>
  <si>
    <t xml:space="preserve">Total</t>
  </si>
  <si>
    <t xml:space="preserve">Open decisions that block tickets</t>
  </si>
  <si>
    <t xml:space="preserve">• Student Plus price: ₹99 (code) or ₹199 (designs) — blocks SK-005 and pricing screens.</t>
  </si>
  <si>
    <t xml:space="preserve">• Under-18 accounts: AGENTS.md says 18+ only; the guardian-consent tickets need a yes/no.</t>
  </si>
  <si>
    <t xml:space="preserve">• D1 palette, D2 font, D3 dark mode (DESIGN.md) — blocks SK-007.</t>
  </si>
  <si>
    <t xml:space="preserve">• Real grievance-officer details and legal review — blocks legal pages and launch.</t>
  </si>
  <si>
    <t xml:space="preserve">• Named clinical reviewer for every Tier 1 ticket.</t>
  </si>
  <si>
    <t xml:space="preserve">ID</t>
  </si>
  <si>
    <t xml:space="preserve">Epic</t>
  </si>
  <si>
    <t xml:space="preserve">Ticket</t>
  </si>
  <si>
    <t xml:space="preserve">Type</t>
  </si>
  <si>
    <t xml:space="preserve">Platform</t>
  </si>
  <si>
    <t xml:space="preserve">Screens (canvas)</t>
  </si>
  <si>
    <t xml:space="preserve">Canvas page</t>
  </si>
  <si>
    <t xml:space="preserve">Tier</t>
  </si>
  <si>
    <t xml:space="preserve">Priority</t>
  </si>
  <si>
    <t xml:space="preserve">Phase</t>
  </si>
  <si>
    <t xml:space="preserve">Estimate (pts)</t>
  </si>
  <si>
    <t xml:space="preserve">Description</t>
  </si>
  <si>
    <t xml:space="preserve">Acceptance criteria</t>
  </si>
  <si>
    <t xml:space="preserve">Depends on</t>
  </si>
  <si>
    <t xml:space="preserve">Depends on (names)</t>
  </si>
  <si>
    <t xml:space="preserve">Backend / API needed</t>
  </si>
  <si>
    <t xml:space="preserve">Rules, risks &amp; decisions</t>
  </si>
  <si>
    <t xml:space="preserve">Status</t>
  </si>
  <si>
    <t xml:space="preserve">Owner</t>
  </si>
  <si>
    <t xml:space="preserve">Sprint</t>
  </si>
  <si>
    <t xml:space="preserve">Replaces</t>
  </si>
  <si>
    <t xml:space="preserve">SK-001</t>
  </si>
  <si>
    <t xml:space="preserve">E0 · Launch blockers</t>
  </si>
  <si>
    <t xml:space="preserve">Delete the fake X-ray diagnosis endpoint</t>
  </si>
  <si>
    <t xml:space="preserve">Task</t>
  </si>
  <si>
    <t xml:space="preserve">Backend</t>
  </si>
  <si>
    <t xml:space="preserve">—</t>
  </si>
  <si>
    <t xml:space="preserve">0 · Foundations</t>
  </si>
  <si>
    <t xml:space="preserve">The /ai/xray-diagnostic-scan route returns an AI "diagnosis". Student Kare never diagnoses. Remove the route, its service and any UI that calls it (patch SK-001 already prepared).</t>
  </si>
  <si>
    <t xml:space="preserve">• Route removed; calling it returns 404
• No UI entry point remains
• Test covers the 404</t>
  </si>
  <si>
    <t xml:space="preserve">Remove route + service</t>
  </si>
  <si>
    <t xml:space="preserve">No AI diagnosis anywhere in the product.</t>
  </si>
  <si>
    <t xml:space="preserve">To do</t>
  </si>
  <si>
    <t xml:space="preserve">SKB-001</t>
  </si>
  <si>
    <t xml:space="preserve">SK-002</t>
  </si>
  <si>
    <t xml:space="preserve">Remove camera vitals and the fake readings they create</t>
  </si>
  <si>
    <t xml:space="preserve">Mobile + Backend</t>
  </si>
  <si>
    <t xml:space="preserve">Devices</t>
  </si>
  <si>
    <t xml:space="preserve">2 · Student app (mobile)</t>
  </si>
  <si>
    <t xml:space="preserve">Camera-based vitals (rPPG) produced invented numbers. Remove /health/camera-scan and the four camera scanner components; Devices shows only real paired devices and typed readings (patch SK-002).</t>
  </si>
  <si>
    <t xml:space="preserve">• Camera scan route and components deleted
• No stored reading without a device or "Typed by you" source
• Devices screen matches the redesigned board</t>
  </si>
  <si>
    <t xml:space="preserve">Remove /health/camera-scan</t>
  </si>
  <si>
    <t xml:space="preserve">Honest data: no invented numbers.</t>
  </si>
  <si>
    <t xml:space="preserve">SKB-002</t>
  </si>
  <si>
    <t xml:space="preserve">SK-003</t>
  </si>
  <si>
    <t xml:space="preserve">Turn demo mode off by default (no demo admin, no fixed OTP)</t>
  </si>
  <si>
    <t xml:space="preserve">SignIn, OtpVerify, AdminSignIn</t>
  </si>
  <si>
    <t xml:space="preserve">1 · Launch &amp; onboarding, 7 · Super admin</t>
  </si>
  <si>
    <t xml:space="preserve">Demo seeding and the console OTP must only run when APP_ENV is development/testing AND SEED_DEMO_DATA=true. Production never creates a SUPER_ADMIN demo user or accepts 123456 (patch SK-004).</t>
  </si>
  <si>
    <t xml:space="preserve">• Fresh production install has no admin and no demo users
• OTP is random, 6 digits, 5-minute expiry, 5 tries
• DEV_OTP_CONSOLE defaults to false
• Tests cover both modes</t>
  </si>
  <si>
    <t xml:space="preserve">workflow_auth demo_mode_enabled()</t>
  </si>
  <si>
    <t xml:space="preserve">SKB-003</t>
  </si>
  <si>
    <t xml:space="preserve">SK-004</t>
  </si>
  <si>
    <t xml:space="preserve">Lock the APILayer proxy endpoints behind super-admin auth</t>
  </si>
  <si>
    <t xml:space="preserve">AdminApiKeys, Integrations</t>
  </si>
  <si>
    <t xml:space="preserve">7 · Super admin</t>
  </si>
  <si>
    <t xml:space="preserve">The 14 APILayer proxy routes are open. Require super-admin auth on the router, rotate the keys, and log each call (patch SK-005). The API access &amp; keys screen shows key status.</t>
  </si>
  <si>
    <t xml:space="preserve">• Unauthenticated call returns 401
• Keys rotated and stored as secrets
• Audit log entry per call (no request bodies)</t>
  </si>
  <si>
    <t xml:space="preserve">SK-128</t>
  </si>
  <si>
    <t xml:space="preserve">Staff and admin sign-in, console home</t>
  </si>
  <si>
    <t xml:space="preserve">Router dependency require_super_admin</t>
  </si>
  <si>
    <t xml:space="preserve">SKB-004</t>
  </si>
  <si>
    <t xml:space="preserve">SK-005</t>
  </si>
  <si>
    <t xml:space="preserve">One source of truth for the Student Plus price</t>
  </si>
  <si>
    <t xml:space="preserve">Web + Mobile + Backend</t>
  </si>
  <si>
    <t xml:space="preserve">AdminPriceFix, AdminPlansPricing, WebPlans, PlanBilling</t>
  </si>
  <si>
    <t xml:space="preserve">7 · Super admin, 3a · Student web — public site, 2 · Student app (mobile)</t>
  </si>
  <si>
    <t xml:space="preserve">Code says ₹99, designs say ₹199. Pick the price (decision), store it once, and make every surface read it. The AdminPriceFix screen lists every place a price appears (patch SK-006).</t>
  </si>
  <si>
    <t xml:space="preserve">• Decision recorded (₹99 or ₹199)
• Price comes from one config/API value
• Web Plans, Plan &amp; billing, checkout and admin all show the same number</t>
  </si>
  <si>
    <t xml:space="preserve">Plans endpoint returns price in paise</t>
  </si>
  <si>
    <t xml:space="preserve">Price always shown before the student commits.</t>
  </si>
  <si>
    <t xml:space="preserve">SKB-005</t>
  </si>
  <si>
    <t xml:space="preserve">SK-006</t>
  </si>
  <si>
    <t xml:space="preserve">Keep LifeShare and on-hold module routes unreachable</t>
  </si>
  <si>
    <t xml:space="preserve">Web + Mobile</t>
  </si>
  <si>
    <t xml:space="preserve">On-hold modules (LifeShare, incident mocks) must not be reachable in production builds. Gate them behind VITE_ENABLE_ON_HOLD_MODULES (default off).</t>
  </si>
  <si>
    <t xml:space="preserve">• Production build has no route to on-hold modules
• Flag documented in env example</t>
  </si>
  <si>
    <t xml:space="preserve">SKB-006</t>
  </si>
  <si>
    <t xml:space="preserve">SK-007</t>
  </si>
  <si>
    <t xml:space="preserve">E1 · Design system foundations</t>
  </si>
  <si>
    <t xml:space="preserve">Apply design-token foundations and adopt one palette (D1) and font (D2)</t>
  </si>
  <si>
    <t xml:space="preserve">IconSystem, MotionSystem</t>
  </si>
  <si>
    <t xml:space="preserve">8 · Design system &amp; flow map</t>
  </si>
  <si>
    <t xml:space="preserve">Merge the design-system foundations patch (DESIGN.md, token JSON, generator, contrast test). Then, after product sign-off, point tokens.ts and workflows.css at the generated values and use Plus Jakarta Sans everywhere.</t>
  </si>
  <si>
    <t xml:space="preserve">• npm run tokens:check passes in CI
• Runtime theme uses generated tokens
• Plus Jakarta Sans loaded for UI, IBM Plex Mono for values
• Contrast test green</t>
  </si>
  <si>
    <t xml:space="preserve">Decisions D1 (palette), D2 (font), D3 (dark mode) need an owner.</t>
  </si>
  <si>
    <t xml:space="preserve">SK-008</t>
  </si>
  <si>
    <t xml:space="preserve">Set up Storybook with accessibility and visual-regression checks</t>
  </si>
  <si>
    <t xml:space="preserve">Web</t>
  </si>
  <si>
    <t xml:space="preserve">Every core component needs stories for every state. Add Storybook (react-native-web), the a11y addon and a visual-regression step in CI.</t>
  </si>
  <si>
    <t xml:space="preserve">• Storybook runs locally and in CI
• axe checks fail the build on violations
• Visual snapshots stored per story</t>
  </si>
  <si>
    <t xml:space="preserve">SK-009</t>
  </si>
  <si>
    <t xml:space="preserve">Lint rule that blocks new hard-coded colours</t>
  </si>
  <si>
    <t xml:space="preserve">2 · Launch month</t>
  </si>
  <si>
    <t xml:space="preserve">About 3,090 raw hex values exist in 171 files. Add a lint rule that fails on new hex values outside the design-system folder; migrate old ones when a screen is touched.</t>
  </si>
  <si>
    <t xml:space="preserve">• New hex value fails lint
• Existing files allow-listed with a count that can only go down</t>
  </si>
  <si>
    <t xml:space="preserve">SK-010</t>
  </si>
  <si>
    <t xml:space="preserve">Buttons and form inputs</t>
  </si>
  <si>
    <t xml:space="preserve">Story</t>
  </si>
  <si>
    <t xml:space="preserve">Feedback, SignIn, OtpVerify, CreateAccount</t>
  </si>
  <si>
    <t xml:space="preserve">8 · Design system &amp; flow map, 1 · Launch &amp; onboarding</t>
  </si>
  <si>
    <t xml:space="preserve">Button (primary, secondary, ghost, danger) and inputs: text, select, 6-digit code, +91 phone. These are used on nearly every screen.</t>
  </si>
  <si>
    <t xml:space="preserve">• All variants and states have stories (default, hover, focus, busy, disabled, invalid)
• 50 px inputs/buttons, 54 px primary CTA, 44 px hit areas
• Error message linked with aria-describedby</t>
  </si>
  <si>
    <t xml:space="preserve">SK-011</t>
  </si>
  <si>
    <t xml:space="preserve">Checkbox, switch, radio and chips</t>
  </si>
  <si>
    <t xml:space="preserve">OnboardingConsent, NotificationSettings, Permissions</t>
  </si>
  <si>
    <t xml:space="preserve">1 · Launch &amp; onboarding, 2 · Student app (mobile)</t>
  </si>
  <si>
    <t xml:space="preserve">Selection controls used in consent, settings and filters.</t>
  </si>
  <si>
    <t xml:space="preserve">• off/on/disabled/focus stories
• Real input elements with labels
• Consent checkboxes never pre-ticked</t>
  </si>
  <si>
    <t xml:space="preserve">SK-012</t>
  </si>
  <si>
    <t xml:space="preserve">Cards, list rows, section headers, notes and banners</t>
  </si>
  <si>
    <t xml:space="preserve">Feedback, MoreHub, YourCare</t>
  </si>
  <si>
    <t xml:space="preserve">8 · Design system &amp; flow map, 2 · Student app (mobile)</t>
  </si>
  <si>
    <t xml:space="preserve">Layout building blocks: card, list row (with chevron/action), eyebrow section header, note/banner in info, positive, attention and danger.</t>
  </si>
  <si>
    <t xml:space="preserve">• Stories for default, selected, with action
• Note tones use semantic tokens (out-of-range = attention/amber, never red)</t>
  </si>
  <si>
    <t xml:space="preserve">SK-013</t>
  </si>
  <si>
    <t xml:space="preserve">Toasts and inline validation</t>
  </si>
  <si>
    <t xml:space="preserve">Feedback</t>
  </si>
  <si>
    <t xml:space="preserve">Neutral, success and error toasts (wrap on phone) and inline field validation from the Feedback board.</t>
  </si>
  <si>
    <t xml:space="preserve">• role="status" for toasts
• Toasts never carry health values</t>
  </si>
  <si>
    <t xml:space="preserve">SK-014</t>
  </si>
  <si>
    <t xml:space="preserve">Bottom sheet, drawer, dialog and confirm dialogs</t>
  </si>
  <si>
    <t xml:space="preserve">Sheets, NavSheets, ConfirmDialogs</t>
  </si>
  <si>
    <t xml:space="preserve">Phone bottom sheets, web drawers and dialogs, plus the confirm dialogs for log out, cancel booking and revoke access.</t>
  </si>
  <si>
    <t xml:space="preserve">• aria-modal + focus trap + Esc closes
• open, busy, done states
• Cancel as easy as confirm</t>
  </si>
  <si>
    <t xml:space="preserve">SK-015</t>
  </si>
  <si>
    <t xml:space="preserve">Empty, loading, error and offline states</t>
  </si>
  <si>
    <t xml:space="preserve">StateScreens</t>
  </si>
  <si>
    <t xml:space="preserve">Shared full-screen and inline states for every role: skeleton loading, empty with one next step, error with retry and reference code, offline banner.</t>
  </si>
  <si>
    <t xml:space="preserve">• One component per state with role-specific copy props
• Error copy says whose side the problem is on</t>
  </si>
  <si>
    <t xml:space="preserve">SK-016</t>
  </si>
  <si>
    <t xml:space="preserve">Result moments (success, failure, pending)</t>
  </si>
  <si>
    <t xml:space="preserve">StatusMoments</t>
  </si>
  <si>
    <t xml:space="preserve">Full-screen outcome for bookings and payments.</t>
  </si>
  <si>
    <t xml:space="preserve">• Success animation only for commerce and bookings
• Reduced motion respected
• Failure shows what to do next</t>
  </si>
  <si>
    <t xml:space="preserve">Never celebrate anything about the body.</t>
  </si>
  <si>
    <t xml:space="preserve">SKB-027</t>
  </si>
  <si>
    <t xml:space="preserve">SK-017</t>
  </si>
  <si>
    <t xml:space="preserve">Navigation: phone tab bar, web header, footer and role sidebars</t>
  </si>
  <si>
    <t xml:space="preserve">NavSheets, Landing, WebHome, ClinicianConsole, VendorConsole, CampusAdminConsole, SuperAdminConsole</t>
  </si>
  <si>
    <t xml:space="preserve">8 · Design system &amp; flow map, 3a · Student web — public site, 3b · Student web — signed in, 5 · Doctor, 6 · Partner — pharmacy, lab, clinic, 4 · Campus / hostel admin, 7 · Super admin</t>
  </si>
  <si>
    <t xml:space="preserve">Option B tab bar on phone (Discover, Shop, Your Care, Records, More), the public web header and footer, the signed-in student web menu, and one sidebar per console role with the current page highlighted.</t>
  </si>
  <si>
    <t xml:space="preserve">• Same student web menu on every signed-in page
• Console sidebars for doctor, partner, campus, super admin
• Current page marked with aria-current</t>
  </si>
  <si>
    <t xml:space="preserve">SKB-017, SKB-037</t>
  </si>
  <si>
    <t xml:space="preserve">SK-018</t>
  </si>
  <si>
    <t xml:space="preserve">Icon set, illustrations and motion system</t>
  </si>
  <si>
    <t xml:space="preserve">IconSystem, IllustrationLibrary, MotionSystem</t>
  </si>
  <si>
    <t xml:space="preserve">Flat and 3D icons, the illustration library and motion tokens (160/320/420 ms) as reusable assets.</t>
  </si>
  <si>
    <t xml:space="preserve">• Icons exported as components with aria-hidden by default
• All motion stops under prefers-reduced-motion</t>
  </si>
  <si>
    <t xml:space="preserve">SK-019</t>
  </si>
  <si>
    <t xml:space="preserve">Console data table</t>
  </si>
  <si>
    <t xml:space="preserve">CampusRoster, AdminAccounts, AuditExplorer, LabQueue</t>
  </si>
  <si>
    <t xml:space="preserve">4 · Campus / hostel admin, 7 · Super admin, 6 · Partner — pharmacy, lab, clinic</t>
  </si>
  <si>
    <t xml:space="preserve">Shared table for all consoles: sorting, filters, row actions, pagination, and loading/empty/error rows.</t>
  </si>
  <si>
    <t xml:space="preserve">• Keyboard navigable
• Stories for data, loading, empty, error
• No PHI in exported CSV unless the role allows it</t>
  </si>
  <si>
    <t xml:space="preserve">SKB-038</t>
  </si>
  <si>
    <t xml:space="preserve">SK-020</t>
  </si>
  <si>
    <t xml:space="preserve">Ayush chat component (web widget and phone sheet)</t>
  </si>
  <si>
    <t xml:space="preserve">AyushWidget, AyushSheet</t>
  </si>
  <si>
    <t xml:space="preserve">One chat component in two shells: the web widget and the phone bottom sheet with context chips.</t>
  </si>
  <si>
    <t xml:space="preserve">• Crisis words show the crisis card instead of an AI answer
• Dose or diagnosis questions route to a doctor
• Web widget docks to the bottom-right of the viewport, never over page content</t>
  </si>
  <si>
    <t xml:space="preserve">Ayush never diagnoses or prescribes.</t>
  </si>
  <si>
    <t xml:space="preserve">SKB-028</t>
  </si>
  <si>
    <t xml:space="preserve">SK-021</t>
  </si>
  <si>
    <t xml:space="preserve">Languages: English, Telugu and Hindi</t>
  </si>
  <si>
    <t xml:space="preserve">CrisisSupport, SosBeacon, EmergencyCard, SignIn, WebSignIn, OnboardingConsent</t>
  </si>
  <si>
    <t xml:space="preserve">2 · Student app (mobile), 1 · Launch &amp; onboarding, 3b · Student web — signed in</t>
  </si>
  <si>
    <t xml:space="preserve">i18n set-up and translations, starting with safety, sign-in and consent screens. Names, phone numbers, "WhatsApp", "ABHA" and helpline names stay in English.</t>
  </si>
  <si>
    <t xml:space="preserve">• Language switch persists
• Noto Sans Telugu / Devanagari loaded
• Native-speaker review on crisis copy before launch
• No truncation in any language</t>
  </si>
  <si>
    <t xml:space="preserve">SKB-041</t>
  </si>
  <si>
    <t xml:space="preserve">SK-022</t>
  </si>
  <si>
    <t xml:space="preserve">Route map and deep links from the flow map</t>
  </si>
  <si>
    <t xml:space="preserve">FlowMap</t>
  </si>
  <si>
    <t xml:space="preserve">Use the canvas flow map (148 nodes) as the source for the route table, so every screen has a route and every link on the canvas has a destination.</t>
  </si>
  <si>
    <t xml:space="preserve">• Route table documented
• Deep links for pass, order tracking, guardian approval, report
• No dead links between built screens</t>
  </si>
  <si>
    <t xml:space="preserve">SK-023</t>
  </si>
  <si>
    <t xml:space="preserve">E2 · Launch, sign-in &amp; onboarding</t>
  </si>
  <si>
    <t xml:space="preserve">Splash that changes with the time of day</t>
  </si>
  <si>
    <t xml:space="preserve">Mobile</t>
  </si>
  <si>
    <t xml:space="preserve">Main, SplashPulse, SplashVault</t>
  </si>
  <si>
    <t xml:space="preserve">1 · Launch &amp; onboarding</t>
  </si>
  <si>
    <t xml:space="preserve">One bright splash with three variants: morning (doctor), afternoon (heartbeat), evening (care circle), chosen by local hour.</t>
  </si>
  <si>
    <t xml:space="preserve">• 5–12 doctor, 12–18 heartbeat, else care circle
• Under 2 s; no blocking animation
• Reduced motion shows a still frame</t>
  </si>
  <si>
    <t xml:space="preserve">SK-024</t>
  </si>
  <si>
    <t xml:space="preserve">Onboarding carousel</t>
  </si>
  <si>
    <t xml:space="preserve">Onboarding1, Onboarding2, Onboarding3</t>
  </si>
  <si>
    <t xml:space="preserve">Three intro slides: campus care, health vault, Ayush. Skippable.</t>
  </si>
  <si>
    <t xml:space="preserve">• Swipe and buttons both work
• Skip goes to sign in
• Screen reader announces slide n of 3</t>
  </si>
  <si>
    <t xml:space="preserve">SK-025</t>
  </si>
  <si>
    <t xml:space="preserve">Sign in with phone and OTP</t>
  </si>
  <si>
    <t xml:space="preserve">SignIn, OtpVerify</t>
  </si>
  <si>
    <t xml:space="preserve">1 · Launch</t>
  </si>
  <si>
    <t xml:space="preserve">Phone number sign-in with a 6-digit code, resend timer and lockout.</t>
  </si>
  <si>
    <t xml:space="preserve">• +91 10-digit validation
• 5 wrong codes → 10-minute lock with message
• Resend after 30 s
• Crisis/SOS link visible before sign-in</t>
  </si>
  <si>
    <t xml:space="preserve">SK-003, SK-010</t>
  </si>
  <si>
    <t xml:space="preserve">Turn demo mode off by default (no demo admin, no fixed OTP); Buttons and form inputs</t>
  </si>
  <si>
    <t xml:space="preserve">POST /auth/otp/send, /auth/otp/verify</t>
  </si>
  <si>
    <t xml:space="preserve">SK-026</t>
  </si>
  <si>
    <t xml:space="preserve">Create account, campus, care profile and permissions</t>
  </si>
  <si>
    <t xml:space="preserve">CreateAccount, CampusVerify, ProfileSetup, Permissions, AccountReady</t>
  </si>
  <si>
    <t xml:space="preserve">The sign-up steps after the first OTP: name and email, campus and hostel, care basics, device permissions, then "Workspace ready".</t>
  </si>
  <si>
    <t xml:space="preserve">• Progress shows step n of 6
• Each step saves; back keeps entries
• Permissions explained before the OS prompt; all optional
• Blood group defaults to "Not set"</t>
  </si>
  <si>
    <t xml:space="preserve">POST /students, /students/{id}/campus</t>
  </si>
  <si>
    <t xml:space="preserve">SKB-012</t>
  </si>
  <si>
    <t xml:space="preserve">SK-027</t>
  </si>
  <si>
    <t xml:space="preserve">Data-protection consent (DPDP)</t>
  </si>
  <si>
    <t xml:space="preserve">OnboardingConsent</t>
  </si>
  <si>
    <t xml:space="preserve">Plain-language consent: what we keep, never do, what you can do, how long. Three required ticks, three optional switches off by default.</t>
  </si>
  <si>
    <t xml:space="preserve">• Continue locked until the 3 required items are ticked
• Consent version (v3.1) + timestamp stored
• English, Telugu, Hindi
• Link to full privacy notice and grievance officer</t>
  </si>
  <si>
    <t xml:space="preserve">SK-026, SK-021</t>
  </si>
  <si>
    <t xml:space="preserve">Create account, campus, care profile and permissions; Languages: English, Telugu and Hindi</t>
  </si>
  <si>
    <t xml:space="preserve">POST /consents (version, items, time)</t>
  </si>
  <si>
    <t xml:space="preserve">No pre-ticked consent. Withdrawing is as easy as agreeing.</t>
  </si>
  <si>
    <t xml:space="preserve">SK-028</t>
  </si>
  <si>
    <t xml:space="preserve">Link ABHA</t>
  </si>
  <si>
    <t xml:space="preserve">AbhaLink</t>
  </si>
  <si>
    <t xml:space="preserve">Link or create an ABHA number so records can be pulled from ABDM.</t>
  </si>
  <si>
    <t xml:space="preserve">• Create or link paths
• Failure shows reason and a skip option
• Only the ABHA number is shown masked</t>
  </si>
  <si>
    <t xml:space="preserve">ABDM gateway (ABHA create/link)</t>
  </si>
  <si>
    <t xml:space="preserve">SK-029</t>
  </si>
  <si>
    <t xml:space="preserve">Verify it’s you — four identity checks</t>
  </si>
  <si>
    <t xml:space="preserve">VerifyIdentity</t>
  </si>
  <si>
    <t xml:space="preserve">Selfie, email code, college ID (roll number + card photo) and government ID (DigiLocker by default). All four needed before booking, ordering or sharing.</t>
  </si>
  <si>
    <t xml:space="preserve">• States per check: to do, busy, done, failed, in review
• Failures: photo unclear, college rejects, name mismatch, code locked — each with a fix
• Only last 4 Aadhaar digits stored</t>
  </si>
  <si>
    <t xml:space="preserve">Identity verification service + college confirmation</t>
  </si>
  <si>
    <t xml:space="preserve">SKB-007, SKB-008</t>
  </si>
  <si>
    <t xml:space="preserve">SK-030</t>
  </si>
  <si>
    <t xml:space="preserve">Verification gate on services</t>
  </si>
  <si>
    <t xml:space="preserve">VerifyGate</t>
  </si>
  <si>
    <t xml:space="preserve">When an unverified student taps book, order or share, show the gate with progress and a way to finish.</t>
  </si>
  <si>
    <t xml:space="preserve">• Crisis support, SOS, emergency card and help never gated
• "Not now" returns to where the student was</t>
  </si>
  <si>
    <t xml:space="preserve">SKB-009</t>
  </si>
  <si>
    <t xml:space="preserve">SK-031</t>
  </si>
  <si>
    <t xml:space="preserve">Under-18: ask a guardian and guardian approval</t>
  </si>
  <si>
    <t xml:space="preserve">Mobile + Web</t>
  </si>
  <si>
    <t xml:space="preserve">GuardianConsent, GuardianApprove</t>
  </si>
  <si>
    <t xml:space="preserve">Students under 18 send an SMS link to a parent or guardian, who approves with an OTP. Limited account until approved; consent ends on the 18th birthday.</t>
  </si>
  <si>
    <t xml:space="preserve">• Guardian page works without an app or account
• Approve / decline / withdraw (reply STOP)
• Student sees status and can still reach crisis support and SOS</t>
  </si>
  <si>
    <t xml:space="preserve">Guardian consent + SMS</t>
  </si>
  <si>
    <t xml:space="preserve">DECISION NEEDED: AGENTS.md says 18+ only. Guardian never sees records, counselling or sexual-health details.</t>
  </si>
  <si>
    <t xml:space="preserve">SKB-011</t>
  </si>
  <si>
    <t xml:space="preserve">SK-032</t>
  </si>
  <si>
    <t xml:space="preserve">Sign out and logged-out page</t>
  </si>
  <si>
    <t xml:space="preserve">SignOut, LoggedOut</t>
  </si>
  <si>
    <t xml:space="preserve">Confirm popup before signing out, then a logged-out page with optional feedback.</t>
  </si>
  <si>
    <t xml:space="preserve">• Confirm dialog busy → done
• Tokens cleared; offline emergency card kept unless the student chooses otherwise</t>
  </si>
  <si>
    <t xml:space="preserve">SKB-013</t>
  </si>
  <si>
    <t xml:space="preserve">SK-033</t>
  </si>
  <si>
    <t xml:space="preserve">Lost phone and moving to a new phone</t>
  </si>
  <si>
    <t xml:space="preserve">LostPhone, NewDevice</t>
  </si>
  <si>
    <t xml:space="preserve">From a friend’s phone: cancel the check-in pass, sign the lost device out, review the last 24 h of check-ins. New phone: email code + selfie to move the account.</t>
  </si>
  <si>
    <t xml:space="preserve">• Pass cancelled immediately
• Offline card wiped on the lost device’s next connection
• New-device move needs email code + selfie match</t>
  </si>
  <si>
    <t xml:space="preserve">SK-057</t>
  </si>
  <si>
    <t xml:space="preserve">Student check-in pass and handover receipt</t>
  </si>
  <si>
    <t xml:space="preserve">Device sessions revoke, pass revoke</t>
  </si>
  <si>
    <t xml:space="preserve">SKB-014</t>
  </si>
  <si>
    <t xml:space="preserve">SK-034</t>
  </si>
  <si>
    <t xml:space="preserve">E3 · Student app — home, search &amp; care</t>
  </si>
  <si>
    <t xml:space="preserve">Home / Discover</t>
  </si>
  <si>
    <t xml:space="preserve">HomeDiscover</t>
  </si>
  <si>
    <t xml:space="preserve">The first screen after sign-in: search, quick actions, campus services and the Ayush entry.</t>
  </si>
  <si>
    <t xml:space="preserve">• Loading, first-time and offline states
• Nothing on Home is chosen from health records
• Ask Ayush opens the phone sheet</t>
  </si>
  <si>
    <t xml:space="preserve">SK-017, SK-020</t>
  </si>
  <si>
    <t xml:space="preserve">Navigation: phone tab bar, web header, footer and role sidebars; Ayush chat component (web widget and phone sheet)</t>
  </si>
  <si>
    <t xml:space="preserve">SK-035</t>
  </si>
  <si>
    <t xml:space="preserve">Search: entry, suggestions, loading, results, no results</t>
  </si>
  <si>
    <t xml:space="preserve">SearchEntry, SearchTyping, SearchLoading, SearchResults, NoResults</t>
  </si>
  <si>
    <t xml:space="preserve">One search across lab tests, doctors, medicines and products, with tabs.</t>
  </si>
  <si>
    <t xml:space="preserve">• Suggestions after 2 characters, debounced
• Skeletons while loading
• No results suggests a next step
• Recent searches can be cleared</t>
  </si>
  <si>
    <t xml:space="preserve">GET /search?q=&amp;type=</t>
  </si>
  <si>
    <t xml:space="preserve">SK-036</t>
  </si>
  <si>
    <t xml:space="preserve">Lab test results and booking</t>
  </si>
  <si>
    <t xml:space="preserve">LabResults, LabPackages, ResultLabBooked</t>
  </si>
  <si>
    <t xml:space="preserve">Browse and book lab tests and packages with dorm pickup slots; price shown before booking.</t>
  </si>
  <si>
    <t xml:space="preserve">• Slots left per day shown
• NABL badge from data, not hard-coded
• Booking confirmation moment</t>
  </si>
  <si>
    <t xml:space="preserve">SK-035, SK-030</t>
  </si>
  <si>
    <t xml:space="preserve">Search: entry, suggestions, loading, results, no results; Verification gate on services</t>
  </si>
  <si>
    <t xml:space="preserve">Lab catalogue, slots, bookings</t>
  </si>
  <si>
    <t xml:space="preserve">SK-037</t>
  </si>
  <si>
    <t xml:space="preserve">Doctor results and appointments</t>
  </si>
  <si>
    <t xml:space="preserve">DoctorResults, Appointments</t>
  </si>
  <si>
    <t xml:space="preserve">Find a doctor (NMC-registered), see price and next slot, book, and manage upcoming appointments.</t>
  </si>
  <si>
    <t xml:space="preserve">• Price before booking
• Reschedule and cancel with confirm dialog
• Empty and offline states</t>
  </si>
  <si>
    <t xml:space="preserve">Clinician directory, slots, appointments</t>
  </si>
  <si>
    <t xml:space="preserve">SK-038</t>
  </si>
  <si>
    <t xml:space="preserve">Teleconsult call</t>
  </si>
  <si>
    <t xml:space="preserve">Teleconsult</t>
  </si>
  <si>
    <t xml:space="preserve">Video consult with a doctor: pre-call check, in-call controls, end call.</t>
  </si>
  <si>
    <t xml:space="preserve">• Camera/mic permission explained
• Reconnect on network drop
• Ends into the visit summary</t>
  </si>
  <si>
    <t xml:space="preserve">Video provider + consult session</t>
  </si>
  <si>
    <t xml:space="preserve">SK-039</t>
  </si>
  <si>
    <t xml:space="preserve">Visit summary and e-prescription</t>
  </si>
  <si>
    <t xml:space="preserve">ConsultSummary, WebConsultSummary</t>
  </si>
  <si>
    <t xml:space="preserve">2 · Student app (mobile), 3b · Student web — signed in</t>
  </si>
  <si>
    <t xml:space="preserve">After a consult: plain-language notes, red flags, signed e-prescription, order medicines or take the Rx anywhere, follow-up, rating.</t>
  </si>
  <si>
    <t xml:space="preserve">• Rx carries doctor NMC number and signature
• Allergy check shown
• Order here or download — student’s choice</t>
  </si>
  <si>
    <t xml:space="preserve">Encounter summary + Rx</t>
  </si>
  <si>
    <t xml:space="preserve">SKB-025</t>
  </si>
  <si>
    <t xml:space="preserve">SK-040</t>
  </si>
  <si>
    <t xml:space="preserve">Your Care overview</t>
  </si>
  <si>
    <t xml:space="preserve">YourCare</t>
  </si>
  <si>
    <t xml:space="preserve">This week summary, items that need the student, and semester progress.</t>
  </si>
  <si>
    <t xml:space="preserve">• First-time and offline states
• Every number comes from real data
• Ask Ayush opens with "care" context</t>
  </si>
  <si>
    <t xml:space="preserve">SKB-039</t>
  </si>
  <si>
    <t xml:space="preserve">SK-041</t>
  </si>
  <si>
    <t xml:space="preserve">Medicines and refill requests</t>
  </si>
  <si>
    <t xml:space="preserve">Medications, RefillRequest</t>
  </si>
  <si>
    <t xml:space="preserve">Medicine list with dose ticks and refill requests to a pharmacy or doctor.</t>
  </si>
  <si>
    <t xml:space="preserve">• Ticking a dose records it; nothing is scored
• Refill shows price and pickup before confirming</t>
  </si>
  <si>
    <t xml:space="preserve">Medication list, refill requests</t>
  </si>
  <si>
    <t xml:space="preserve">SK-042</t>
  </si>
  <si>
    <t xml:space="preserve">Preventive care</t>
  </si>
  <si>
    <t xml:space="preserve">PreventiveCare</t>
  </si>
  <si>
    <t xml:space="preserve">3 · Later</t>
  </si>
  <si>
    <t xml:space="preserve">Vaccinations and routine checks due, with booking links.</t>
  </si>
  <si>
    <t xml:space="preserve">• Due dates from records
• No alarming language</t>
  </si>
  <si>
    <t xml:space="preserve">SK-043</t>
  </si>
  <si>
    <t xml:space="preserve">Devices and typed readings</t>
  </si>
  <si>
    <t xml:space="preserve">Pair real devices or type a reading. Each reading shows its source.</t>
  </si>
  <si>
    <t xml:space="preserve">• "Typed by you" or device badge on every reading
• No camera vitals</t>
  </si>
  <si>
    <t xml:space="preserve">Readings API with source field</t>
  </si>
  <si>
    <t xml:space="preserve">SK-044</t>
  </si>
  <si>
    <t xml:space="preserve">Movement</t>
  </si>
  <si>
    <t xml:space="preserve">Sessions this week from guides the student chose.</t>
  </si>
  <si>
    <t xml:space="preserve">• No body scores or rankings
• Empty state with one next step</t>
  </si>
  <si>
    <t xml:space="preserve">SK-045</t>
  </si>
  <si>
    <t xml:space="preserve">Vital trends</t>
  </si>
  <si>
    <t xml:space="preserve">VitalTrends</t>
  </si>
  <si>
    <t xml:space="preserve">Charts of readings over time with the lab or device reference range.</t>
  </si>
  <si>
    <t xml:space="preserve">• Out of range shown in amber, never red
• Source badge per point
• Clinical values in mono font</t>
  </si>
  <si>
    <t xml:space="preserve">Tier 1: clinical review of design before build.</t>
  </si>
  <si>
    <t xml:space="preserve">SK-046</t>
  </si>
  <si>
    <t xml:space="preserve">Health vault (records)</t>
  </si>
  <si>
    <t xml:space="preserve">RecordsVault</t>
  </si>
  <si>
    <t xml:space="preserve">All documents and reports, filterable, with upload and share.</t>
  </si>
  <si>
    <t xml:space="preserve">• Upload photo/PDF
• Every share shows who, what and until when, and can be revoked
• Offline: cached list read-only</t>
  </si>
  <si>
    <t xml:space="preserve">Documents API, ABDM pull</t>
  </si>
  <si>
    <t xml:space="preserve">SK-047</t>
  </si>
  <si>
    <t xml:space="preserve">My lab tests and report insights</t>
  </si>
  <si>
    <t xml:space="preserve">MyReports, ReportInsights</t>
  </si>
  <si>
    <t xml:space="preserve">Track lab bookings through collection to report, then a plain-language explanation of results.</t>
  </si>
  <si>
    <t xml:space="preserve">• Status timeline per test
• Out-of-range values amber with "talk to a doctor" link
• No diagnosis language</t>
  </si>
  <si>
    <t xml:space="preserve">Lab orders + results</t>
  </si>
  <si>
    <t xml:space="preserve">SK-048</t>
  </si>
  <si>
    <t xml:space="preserve">Ayush chat (full screen)</t>
  </si>
  <si>
    <t xml:space="preserve">AyushChat</t>
  </si>
  <si>
    <t xml:space="preserve">Full-screen Ayush for longer conversations; same rules as the sheet.</t>
  </si>
  <si>
    <t xml:space="preserve">• History can be cleared
• Crisis words → crisis card
• Clear label that Ayush is an assistant, not a doctor</t>
  </si>
  <si>
    <t xml:space="preserve">SK-049</t>
  </si>
  <si>
    <t xml:space="preserve">Notifications inbox</t>
  </si>
  <si>
    <t xml:space="preserve">Notifications</t>
  </si>
  <si>
    <t xml:space="preserve">In-app list of updates with read/unread.</t>
  </si>
  <si>
    <t xml:space="preserve">• Group by day
• Tap opens the related screen
• No health values in previews</t>
  </si>
  <si>
    <t xml:space="preserve">SK-050</t>
  </si>
  <si>
    <t xml:space="preserve">E4 · Student safety &amp; privacy</t>
  </si>
  <si>
    <t xml:space="preserve">Offline emergency card and emergency contacts</t>
  </si>
  <si>
    <t xml:space="preserve">EmergencyCard, IceContacts</t>
  </si>
  <si>
    <t xml:space="preserve">An emergency card that works offline and from the lock screen, plus the contacts it lists.</t>
  </si>
  <si>
    <t xml:space="preserve">• Blood group defaults to "Not set"; explicit "No known allergies"
• +91 10-digit validation
• Nothing on the card is sent anywhere</t>
  </si>
  <si>
    <t xml:space="preserve">SKB-029</t>
  </si>
  <si>
    <t xml:space="preserve">SK-051</t>
  </si>
  <si>
    <t xml:space="preserve">Crisis support</t>
  </si>
  <si>
    <t xml:space="preserve">CrisisSupport</t>
  </si>
  <si>
    <t xml:space="preserve">Always-reachable crisis screen: campus SOS, helplines, counsellor booking.</t>
  </si>
  <si>
    <t xml:space="preserve">• Reachable without sign-in, verification or network
• Campus never sees that it was opened
• Telugu and Hindi reviewed</t>
  </si>
  <si>
    <t xml:space="preserve">Never behind a login, gate, paywall or loading state.</t>
  </si>
  <si>
    <t xml:space="preserve">SK-052</t>
  </si>
  <si>
    <t xml:space="preserve">SOS beacon and after-SOS</t>
  </si>
  <si>
    <t xml:space="preserve">SosBeacon, SosDebrief</t>
  </si>
  <si>
    <t xml:space="preserve">Trigger SOS, share location with campus responders, then a debrief showing who was told.</t>
  </si>
  <si>
    <t xml:space="preserve">• Hold-to-confirm with cancel window
• Works on poor network (SMS fallback)
• Debrief offers a counsellor call and a private note</t>
  </si>
  <si>
    <t xml:space="preserve">SOS event + responder notify</t>
  </si>
  <si>
    <t xml:space="preserve">SKB-026</t>
  </si>
  <si>
    <t xml:space="preserve">SK-053</t>
  </si>
  <si>
    <t xml:space="preserve">Consent inbox</t>
  </si>
  <si>
    <t xml:space="preserve">ConsentInbox</t>
  </si>
  <si>
    <t xml:space="preserve">Requests from doctors, labs or campus to see records; approve, limit or decline.</t>
  </si>
  <si>
    <t xml:space="preserve">• Each request shows who, what, until when
• Revoke any time
• Declined requests leave no trace for the requester beyond "declined"</t>
  </si>
  <si>
    <t xml:space="preserve">ABDM consent manager</t>
  </si>
  <si>
    <t xml:space="preserve">SK-054</t>
  </si>
  <si>
    <t xml:space="preserve">Care Circle</t>
  </si>
  <si>
    <t xml:space="preserve">FamilyCircle</t>
  </si>
  <si>
    <t xml:space="preserve">Share selected records with family members, each with a separate private record.</t>
  </si>
  <si>
    <t xml:space="preserve">• Invite by phone
• Per-person share scopes
• Remove member instantly</t>
  </si>
  <si>
    <t xml:space="preserve">SK-055</t>
  </si>
  <si>
    <t xml:space="preserve">Download my data</t>
  </si>
  <si>
    <t xml:space="preserve">DataExport</t>
  </si>
  <si>
    <t xml:space="preserve">Export all records and account data.</t>
  </si>
  <si>
    <t xml:space="preserve">• Choose scope and format
• Link expires; sent only to the verified email</t>
  </si>
  <si>
    <t xml:space="preserve">Export job</t>
  </si>
  <si>
    <t xml:space="preserve">SK-056</t>
  </si>
  <si>
    <t xml:space="preserve">Hostel room visit</t>
  </si>
  <si>
    <t xml:space="preserve">HostelVisit</t>
  </si>
  <si>
    <t xml:space="preserve">Request a campus nurse or doctor visit to the hostel room.</t>
  </si>
  <si>
    <t xml:space="preserve">• Time window and price shown
• Status updates</t>
  </si>
  <si>
    <t xml:space="preserve">Visit requests</t>
  </si>
  <si>
    <t xml:space="preserve">MyPass, CheckinReceipt</t>
  </si>
  <si>
    <t xml:space="preserve">Rotating QR and 6-digit code for pharmacy, lab and clinic; history with "This wasn’t me"; receipt with bag photo after handover.</t>
  </si>
  <si>
    <t xml:space="preserve">• QR and code rotate every 30 s, work offline
• Screenshots fail (signed, time-bound)
• Receipt links to report or return</t>
  </si>
  <si>
    <t xml:space="preserve">Pass signing service</t>
  </si>
  <si>
    <t xml:space="preserve">SKB-018, SKB-023</t>
  </si>
  <si>
    <t xml:space="preserve">SK-058</t>
  </si>
  <si>
    <t xml:space="preserve">Leaving campus</t>
  </si>
  <si>
    <t xml:space="preserve">LeaveCampus</t>
  </si>
  <si>
    <t xml:space="preserve">Move to a personal account when leaving campus.</t>
  </si>
  <si>
    <t xml:space="preserve">• Personal email required
• Effective date by reason
• Undo available</t>
  </si>
  <si>
    <t xml:space="preserve">SK-069</t>
  </si>
  <si>
    <t xml:space="preserve">Account details</t>
  </si>
  <si>
    <t xml:space="preserve">SKB-015</t>
  </si>
  <si>
    <t xml:space="preserve">SK-059</t>
  </si>
  <si>
    <t xml:space="preserve">Delete my account</t>
  </si>
  <si>
    <t xml:space="preserve">DeleteAccount</t>
  </si>
  <si>
    <t xml:space="preserve">Type DELETE and confirm with a phone code; 7 days to cancel; list what must legally be kept.</t>
  </si>
  <si>
    <t xml:space="preserve">• 7-day cancel window
• Erasure completed within 30 days after the window
• "Having a hard time?" shows support</t>
  </si>
  <si>
    <t xml:space="preserve">DPDP erasure request</t>
  </si>
  <si>
    <t xml:space="preserve">SKB-016</t>
  </si>
  <si>
    <t xml:space="preserve">SK-060</t>
  </si>
  <si>
    <t xml:space="preserve">Privacy notice, terms and grievance officer</t>
  </si>
  <si>
    <t xml:space="preserve">Legal</t>
  </si>
  <si>
    <t xml:space="preserve">Legal pages and grievance form; every legal link in the app lands here.</t>
  </si>
  <si>
    <t xml:space="preserve">• Grievance form returns a reference
• 48 h acknowledgement, 30-day resolution stated</t>
  </si>
  <si>
    <t xml:space="preserve">Real grievance officer details and legal review needed before launch.</t>
  </si>
  <si>
    <t xml:space="preserve">SKB-031</t>
  </si>
  <si>
    <t xml:space="preserve">SK-061</t>
  </si>
  <si>
    <t xml:space="preserve">Notification settings</t>
  </si>
  <si>
    <t xml:space="preserve">NotificationSettings</t>
  </si>
  <si>
    <t xml:space="preserve">Channels, categories, quiet hours and lock-screen privacy.</t>
  </si>
  <si>
    <t xml:space="preserve">• Lock-screen privacy on by default
• Safety alerts always on
• Partner offers off by default</t>
  </si>
  <si>
    <t xml:space="preserve">SKB-032</t>
  </si>
  <si>
    <t xml:space="preserve">SK-062</t>
  </si>
  <si>
    <t xml:space="preserve">E5 · Student app — shop &amp; orders</t>
  </si>
  <si>
    <t xml:space="preserve">Shop home, product list and product detail</t>
  </si>
  <si>
    <t xml:space="preserve">ShopHome, ProductList, ProductDetail</t>
  </si>
  <si>
    <t xml:space="preserve">Wellness shop with categories, dorm staples, product grid and detail.</t>
  </si>
  <si>
    <t xml:space="preserve">• Prices and delivery shown before adding
• "Nothing here is chosen from your health records" shown
• Stock from the partner</t>
  </si>
  <si>
    <t xml:space="preserve">Catalogue + stock</t>
  </si>
  <si>
    <t xml:space="preserve">Rule L: no health data on commerce surfaces, no sponsored placement.</t>
  </si>
  <si>
    <t xml:space="preserve">SK-063</t>
  </si>
  <si>
    <t xml:space="preserve">Cart, checkout and payment</t>
  </si>
  <si>
    <t xml:space="preserve">Cart, Checkout, Payment, PaymentResult, OrderSuccess</t>
  </si>
  <si>
    <t xml:space="preserve">Cart, delivery address (hostel block), payment (UPI, card) and result.</t>
  </si>
  <si>
    <t xml:space="preserve">• Total incl. delivery shown before paying
• Payment failed / pending states
• Order placed moment (commerce only)</t>
  </si>
  <si>
    <t xml:space="preserve">SK-062, SK-016</t>
  </si>
  <si>
    <t xml:space="preserve">Shop home, product list and product detail; Result moments (success, failure, pending)</t>
  </si>
  <si>
    <t xml:space="preserve">Orders + payment gateway</t>
  </si>
  <si>
    <t xml:space="preserve">SK-064</t>
  </si>
  <si>
    <t xml:space="preserve">Order tracking and order history</t>
  </si>
  <si>
    <t xml:space="preserve">OrderTracking, OrderHistory</t>
  </si>
  <si>
    <t xml:space="preserve">Live order status and past orders with reorder.</t>
  </si>
  <si>
    <t xml:space="preserve">• Timeline with times
• Handover with pass check shown
• Offline shows last known status</t>
  </si>
  <si>
    <t xml:space="preserve">Order status</t>
  </si>
  <si>
    <t xml:space="preserve">SK-065</t>
  </si>
  <si>
    <t xml:space="preserve">Prescription upload</t>
  </si>
  <si>
    <t xml:space="preserve">PrescriptionUpload</t>
  </si>
  <si>
    <t xml:space="preserve">Upload a prescription for Rx medicines; pharmacist reviews before dispatch.</t>
  </si>
  <si>
    <t xml:space="preserve">• Photo or PDF
• Status: in review / approved / needs a clearer copy
• Rx items blocked until approved</t>
  </si>
  <si>
    <t xml:space="preserve">Rx upload + pharmacist review</t>
  </si>
  <si>
    <t xml:space="preserve">SK-066</t>
  </si>
  <si>
    <t xml:space="preserve">Returns and refunds</t>
  </si>
  <si>
    <t xml:space="preserve">ReturnRequest, ResultRefund</t>
  </si>
  <si>
    <t xml:space="preserve">Return an unopened item within 7 days and track the refund.</t>
  </si>
  <si>
    <t xml:space="preserve">• Reason, photo, pickup from block
• Refund started moment</t>
  </si>
  <si>
    <t xml:space="preserve">Returns + refunds</t>
  </si>
  <si>
    <t xml:space="preserve">SK-067</t>
  </si>
  <si>
    <t xml:space="preserve">Camp booking result</t>
  </si>
  <si>
    <t xml:space="preserve">ResultCampBooked</t>
  </si>
  <si>
    <t xml:space="preserve">Confirmation after booking a health camp slot.</t>
  </si>
  <si>
    <t xml:space="preserve">• Slot, place, what to bring
• Add to calendar</t>
  </si>
  <si>
    <t xml:space="preserve">SK-068</t>
  </si>
  <si>
    <t xml:space="preserve">E6 · Student app — account</t>
  </si>
  <si>
    <t xml:space="preserve">More hub, profile and digital health ID</t>
  </si>
  <si>
    <t xml:space="preserve">MoreHub, StudentProfile, DigitalId</t>
  </si>
  <si>
    <t xml:space="preserve">Account hub, profile card and the digital health ID with ABHA.</t>
  </si>
  <si>
    <t xml:space="preserve">• Verified badge + 4 check chips
• ABHA number masked
• Log out confirm on every account screen</t>
  </si>
  <si>
    <t xml:space="preserve">SKB-010</t>
  </si>
  <si>
    <t xml:space="preserve">AccountDetails</t>
  </si>
  <si>
    <t xml:space="preserve">Name, phone, email, campus, block; change with verification.</t>
  </si>
  <si>
    <t xml:space="preserve">• Phone/email change needs a code
• Verified status shown</t>
  </si>
  <si>
    <t xml:space="preserve">SK-070</t>
  </si>
  <si>
    <t xml:space="preserve">Plan and billing</t>
  </si>
  <si>
    <t xml:space="preserve">PlanBilling</t>
  </si>
  <si>
    <t xml:space="preserve">Current plan, invoices, upgrade/cancel.</t>
  </si>
  <si>
    <t xml:space="preserve">• Price from the single source
• Cancel as easy as upgrade</t>
  </si>
  <si>
    <t xml:space="preserve">SK-071</t>
  </si>
  <si>
    <t xml:space="preserve">Cover and claims</t>
  </si>
  <si>
    <t xml:space="preserve">ClaimsHub</t>
  </si>
  <si>
    <t xml:space="preserve">Insurance cover and claim status.</t>
  </si>
  <si>
    <t xml:space="preserve">• Claim timeline
• Documents attached from the vault with consent</t>
  </si>
  <si>
    <t xml:space="preserve">Claims API</t>
  </si>
  <si>
    <t xml:space="preserve">SK-072</t>
  </si>
  <si>
    <t xml:space="preserve">Help centre and my requests</t>
  </si>
  <si>
    <t xml:space="preserve">HelpCentre, MyRequests</t>
  </si>
  <si>
    <t xml:space="preserve">Help articles, contact support, and a tracked list of every request.</t>
  </si>
  <si>
    <t xml:space="preserve">• Every "support will call" promise creates a request with a timeline
• Crisis link on help centre</t>
  </si>
  <si>
    <t xml:space="preserve">Support tickets</t>
  </si>
  <si>
    <t xml:space="preserve">SKB-030</t>
  </si>
  <si>
    <t xml:space="preserve">SK-073</t>
  </si>
  <si>
    <t xml:space="preserve">E7 · Public website</t>
  </si>
  <si>
    <t xml:space="preserve">Landing — Discover</t>
  </si>
  <si>
    <t xml:space="preserve">Landing</t>
  </si>
  <si>
    <t xml:space="preserve">3a · Student web — public site</t>
  </si>
  <si>
    <t xml:space="preserve">Public home page for students: hero, what you can do, everyday wellness, lab checks, footer and newsletter.</t>
  </si>
  <si>
    <t xml:space="preserve">• Responsive 320–1440 px
• Videos lazy-load with a still poster and captions off by default
• Lighthouse performance ≥ 80</t>
  </si>
  <si>
    <t xml:space="preserve">Public catalogue (read-only)</t>
  </si>
  <si>
    <t xml:space="preserve">SK-074</t>
  </si>
  <si>
    <t xml:space="preserve">Lab tests landing and category pages</t>
  </si>
  <si>
    <t xml:space="preserve">WebLabTests, WebLabList</t>
  </si>
  <si>
    <t xml:space="preserve">Public lab test pages with packages and categories.</t>
  </si>
  <si>
    <t xml:space="preserve">• Prices shown; booking requires sign-in
• Structured data for tests (SEO)</t>
  </si>
  <si>
    <t xml:space="preserve">SK-075</t>
  </si>
  <si>
    <t xml:space="preserve">Consult a doctor page</t>
  </si>
  <si>
    <t xml:space="preserve">WebConsult</t>
  </si>
  <si>
    <t xml:space="preserve">Public page explaining consults, pricing and NMC-registered doctors.</t>
  </si>
  <si>
    <t xml:space="preserve">• Price from data
• FAQ accordion accessible</t>
  </si>
  <si>
    <t xml:space="preserve">SK-076</t>
  </si>
  <si>
    <t xml:space="preserve">Care programmes and wellness training pages</t>
  </si>
  <si>
    <t xml:space="preserve">WebPrograms, WebWellness</t>
  </si>
  <si>
    <t xml:space="preserve">Programme and wellness pages with weekly schedules.</t>
  </si>
  <si>
    <t xml:space="preserve">• Schedules from data
• No body scores or before/after claims</t>
  </si>
  <si>
    <t xml:space="preserve">SK-077</t>
  </si>
  <si>
    <t xml:space="preserve">Plans page</t>
  </si>
  <si>
    <t xml:space="preserve">WebPlans</t>
  </si>
  <si>
    <t xml:space="preserve">Basic free forever, Premium, Care Circle, Enterprise; comparison table.</t>
  </si>
  <si>
    <t xml:space="preserve">• Prices from the single source
• "Records never behind a paywall" message</t>
  </si>
  <si>
    <t xml:space="preserve">SK-078</t>
  </si>
  <si>
    <t xml:space="preserve">Landing pages for campuses, clinicians and partners</t>
  </si>
  <si>
    <t xml:space="preserve">LandingCampus, LandingClinician, WebPartnerships</t>
  </si>
  <si>
    <t xml:space="preserve">Three B2B landing pages that lead to the application forms.</t>
  </si>
  <si>
    <t xml:space="preserve">• CTA to the right application
• Rule L commitments stated for partners</t>
  </si>
  <si>
    <t xml:space="preserve">SK-079</t>
  </si>
  <si>
    <t xml:space="preserve">E8 · Student web — signed in</t>
  </si>
  <si>
    <t xml:space="preserve">Web sign-in, sign-out, logged out and lost phone</t>
  </si>
  <si>
    <t xml:space="preserve">WebSignIn, WebSignOut, WebLoggedOut, WebLostPhone</t>
  </si>
  <si>
    <t xml:space="preserve">3b · Student web — signed in, 1 · Launch &amp; onboarding</t>
  </si>
  <si>
    <t xml:space="preserve">Web versions of sign-in (phone + OTP or QR from the app), logged-out page and lost-phone flow.</t>
  </si>
  <si>
    <t xml:space="preserve">• Same rules as phone
• Session list visible afterwards</t>
  </si>
  <si>
    <t xml:space="preserve">SK-025, SK-033</t>
  </si>
  <si>
    <t xml:space="preserve">Sign in with phone and OTP; Lost phone and moving to a new phone</t>
  </si>
  <si>
    <t xml:space="preserve">SK-080</t>
  </si>
  <si>
    <t xml:space="preserve">Web identity verification, gate and guardian consent</t>
  </si>
  <si>
    <t xml:space="preserve">WebVerify, WebVerifyGate, WebGuardianConsent, WebGuardianApprove</t>
  </si>
  <si>
    <t xml:space="preserve">3b · Student web — signed in</t>
  </si>
  <si>
    <t xml:space="preserve">Web layouts for the four identity checks, the service gate and under-18 guardian consent.</t>
  </si>
  <si>
    <t xml:space="preserve">• Shares viewmodels with the phone tickets
• Gate never blocks crisis, SOS, emergency card, help</t>
  </si>
  <si>
    <t xml:space="preserve">SK-029, SK-031</t>
  </si>
  <si>
    <t xml:space="preserve">Verify it’s you — four identity checks; Under-18: ask a guardian and guardian approval</t>
  </si>
  <si>
    <t xml:space="preserve">SK-081</t>
  </si>
  <si>
    <t xml:space="preserve">Web home and care dashboard</t>
  </si>
  <si>
    <t xml:space="preserve">WebHome, WebDashboard</t>
  </si>
  <si>
    <t xml:space="preserve">Signed-in home and the care dashboard.</t>
  </si>
  <si>
    <t xml:space="preserve">• First-time and offline states
• Real data only</t>
  </si>
  <si>
    <t xml:space="preserve">SK-082</t>
  </si>
  <si>
    <t xml:space="preserve">Web health vault</t>
  </si>
  <si>
    <t xml:space="preserve">WebVault</t>
  </si>
  <si>
    <t xml:space="preserve">Records list with upload, filters and sharing.</t>
  </si>
  <si>
    <t xml:space="preserve">• Drag-and-drop upload
• Share shows who, what, until when; revoke</t>
  </si>
  <si>
    <t xml:space="preserve">SK-083</t>
  </si>
  <si>
    <t xml:space="preserve">Web lab tests, report insights and report explainer</t>
  </si>
  <si>
    <t xml:space="preserve">WebMyLabTests, WebReportInsights, WebReportAssistant</t>
  </si>
  <si>
    <t xml:space="preserve">Track lab tests, read results and ask Ayush to explain a report.</t>
  </si>
  <si>
    <t xml:space="preserve">• Out of range amber, never red
• Explainer never diagnoses; links to a doctor</t>
  </si>
  <si>
    <t xml:space="preserve">SK-084</t>
  </si>
  <si>
    <t xml:space="preserve">Web Ayush</t>
  </si>
  <si>
    <t xml:space="preserve">WebAyush</t>
  </si>
  <si>
    <t xml:space="preserve">Full-page Ayush on web.</t>
  </si>
  <si>
    <t xml:space="preserve">• Same rules as the chat component</t>
  </si>
  <si>
    <t xml:space="preserve">SK-085</t>
  </si>
  <si>
    <t xml:space="preserve">Web emergency card and check-in pass</t>
  </si>
  <si>
    <t xml:space="preserve">WebEmergencyCard, WebPass</t>
  </si>
  <si>
    <t xml:space="preserve">Edit the emergency card and show the check-in pass on a computer.</t>
  </si>
  <si>
    <t xml:space="preserve">• Same validation as phone
• Pass rotates every 30 s</t>
  </si>
  <si>
    <t xml:space="preserve">SK-050, SK-057</t>
  </si>
  <si>
    <t xml:space="preserve">Offline emergency card and emergency contacts; Student check-in pass and handover receipt</t>
  </si>
  <si>
    <t xml:space="preserve">SK-086</t>
  </si>
  <si>
    <t xml:space="preserve">Web search, shop and product</t>
  </si>
  <si>
    <t xml:space="preserve">WebSearchResults, WebShop, WebProduct</t>
  </si>
  <si>
    <t xml:space="preserve">Search results, shop and product detail on web.</t>
  </si>
  <si>
    <t xml:space="preserve">• Filters in a side panel
• Rule L note on shop pages</t>
  </si>
  <si>
    <t xml:space="preserve">SK-087</t>
  </si>
  <si>
    <t xml:space="preserve">Web checkout, orders and buy again</t>
  </si>
  <si>
    <t xml:space="preserve">WebCheckout, WebOrders, WebReorder</t>
  </si>
  <si>
    <t xml:space="preserve">Checkout, order list and buy again with ratings.</t>
  </si>
  <si>
    <t xml:space="preserve">• Total before paying
• Ratings are about products and service, never about health</t>
  </si>
  <si>
    <t xml:space="preserve">SK-063, SK-064</t>
  </si>
  <si>
    <t xml:space="preserve">Cart, checkout and payment; Order tracking and order history</t>
  </si>
  <si>
    <t xml:space="preserve">SK-088</t>
  </si>
  <si>
    <t xml:space="preserve">Web account, security and notifications</t>
  </si>
  <si>
    <t xml:space="preserve">WebAccount, WebSecurity, WebNotifications</t>
  </si>
  <si>
    <t xml:space="preserve">Account, sign-in and security (2FA, sessions) and notification settings.</t>
  </si>
  <si>
    <t xml:space="preserve">• Sign out other sessions
• Same notification rules as phone</t>
  </si>
  <si>
    <t xml:space="preserve">SK-069, SK-061</t>
  </si>
  <si>
    <t xml:space="preserve">Account details; Notification settings</t>
  </si>
  <si>
    <t xml:space="preserve">SK-089</t>
  </si>
  <si>
    <t xml:space="preserve">Web requests, legal, leaving campus and delete account</t>
  </si>
  <si>
    <t xml:space="preserve">WebRequests, WebLegal, WebLeaveCampus, WebDeleteAccount</t>
  </si>
  <si>
    <t xml:space="preserve">Web versions of my requests, legal pages, leaving campus and delete account.</t>
  </si>
  <si>
    <t xml:space="preserve">• Same rules as the phone tickets</t>
  </si>
  <si>
    <t xml:space="preserve">SK-072, SK-060, SK-058, SK-059</t>
  </si>
  <si>
    <t xml:space="preserve">Help centre and my requests; Privacy notice, terms and grievance officer; Leaving campus; Delete my account</t>
  </si>
  <si>
    <t xml:space="preserve">SK-090</t>
  </si>
  <si>
    <t xml:space="preserve">E9 · Campus admin console</t>
  </si>
  <si>
    <t xml:space="preserve">Campus console home and overview</t>
  </si>
  <si>
    <t xml:space="preserve">CampusAdminConsole, CampusOverview</t>
  </si>
  <si>
    <t xml:space="preserve">4 · Campus / hostel admin</t>
  </si>
  <si>
    <t xml:space="preserve">Landing page for campus admins with today’s numbers and shortcuts.</t>
  </si>
  <si>
    <t xml:space="preserve">• Only aggregate, anonymous numbers (groups of 20+)
• Loading/empty/error states</t>
  </si>
  <si>
    <t xml:space="preserve">SK-017, SK-019</t>
  </si>
  <si>
    <t xml:space="preserve">Navigation: phone tab bar, web header, footer and role sidebars; Console data table</t>
  </si>
  <si>
    <t xml:space="preserve">Campus never sees an individual’s health data.</t>
  </si>
  <si>
    <t xml:space="preserve">SK-091</t>
  </si>
  <si>
    <t xml:space="preserve">Students roster, CSV import and verification queue</t>
  </si>
  <si>
    <t xml:space="preserve">CampusRoster, CampusApprovals</t>
  </si>
  <si>
    <t xml:space="preserve">Student list with enrolment status, CSV import of the roll list, and the college-ID verification queue.</t>
  </si>
  <si>
    <t xml:space="preserve">• Four verification dots per student, never documents
• CSV import validates and previews before saving</t>
  </si>
  <si>
    <t xml:space="preserve">Roster + verification queue</t>
  </si>
  <si>
    <t xml:space="preserve">SK-092</t>
  </si>
  <si>
    <t xml:space="preserve">Health camps</t>
  </si>
  <si>
    <t xml:space="preserve">CampusCamps</t>
  </si>
  <si>
    <t xml:space="preserve">Plan and run health camps with partners.</t>
  </si>
  <si>
    <t xml:space="preserve">• Slots, partner, location
• Bookings count only</t>
  </si>
  <si>
    <t xml:space="preserve">SK-093</t>
  </si>
  <si>
    <t xml:space="preserve">Health insights (aggregate)</t>
  </si>
  <si>
    <t xml:space="preserve">CampusInsights</t>
  </si>
  <si>
    <t xml:space="preserve">Anonymous campus-level trends.</t>
  </si>
  <si>
    <t xml:space="preserve">• Minimum group of 20; smaller groups hidden
• Never mental or sexual health</t>
  </si>
  <si>
    <t xml:space="preserve">SK-094</t>
  </si>
  <si>
    <t xml:space="preserve">Access requests and emergency (break-glass) access</t>
  </si>
  <si>
    <t xml:space="preserve">CampusAccessRequests, CampusBreakGlass</t>
  </si>
  <si>
    <t xml:space="preserve">Staff request access to a student’s record; break-glass for emergencies with reason and audit.</t>
  </si>
  <si>
    <t xml:space="preserve">• Break-glass needs reason + second person
• Student is told afterwards
• Every access logged</t>
  </si>
  <si>
    <t xml:space="preserve">Access requests + audit log</t>
  </si>
  <si>
    <t xml:space="preserve">SK-095</t>
  </si>
  <si>
    <t xml:space="preserve">Incident desk and counsellor queue</t>
  </si>
  <si>
    <t xml:space="preserve">CampusIncidents, CampusCounsellor</t>
  </si>
  <si>
    <t xml:space="preserve">SOS and incident handling for campus responders; counsellor booking queue.</t>
  </si>
  <si>
    <t xml:space="preserve">• SLA timers
• Counsellor queue never visible to general admins</t>
  </si>
  <si>
    <t xml:space="preserve">Incidents + counselling bookings</t>
  </si>
  <si>
    <t xml:space="preserve">SK-096</t>
  </si>
  <si>
    <t xml:space="preserve">Admin team and roles</t>
  </si>
  <si>
    <t xml:space="preserve">CampusAdminTeam</t>
  </si>
  <si>
    <t xml:space="preserve">Invite admins and assign roles.</t>
  </si>
  <si>
    <t xml:space="preserve">• Removal signs out immediately
• Role changes logged</t>
  </si>
  <si>
    <t xml:space="preserve">SK-097</t>
  </si>
  <si>
    <t xml:space="preserve">Isolation and discharge certificates</t>
  </si>
  <si>
    <t xml:space="preserve">CampusIsolation, CampusDischarge</t>
  </si>
  <si>
    <t xml:space="preserve">Track students in isolation rooms and issue discharge/fitness certificates.</t>
  </si>
  <si>
    <t xml:space="preserve">• Only what the student consented to share
• Certificates signed by a clinician</t>
  </si>
  <si>
    <t xml:space="preserve">SK-098</t>
  </si>
  <si>
    <t xml:space="preserve">Outbreak, water and sanitary radars</t>
  </si>
  <si>
    <t xml:space="preserve">CampusOutbreak, CampusWater, CampusSanitary</t>
  </si>
  <si>
    <t xml:space="preserve">Early-warning dashboards from aggregate symptom reports, water tests and sanitary audits.</t>
  </si>
  <si>
    <t xml:space="preserve">• Aggregate only
• Clear source and date on every number</t>
  </si>
  <si>
    <t xml:space="preserve">SK-099</t>
  </si>
  <si>
    <t xml:space="preserve">Mess and diet</t>
  </si>
  <si>
    <t xml:space="preserve">CampusMess</t>
  </si>
  <si>
    <t xml:space="preserve">Special diet requests and mess hygiene checks.</t>
  </si>
  <si>
    <t xml:space="preserve">• Diet requests without diagnosis details</t>
  </si>
  <si>
    <t xml:space="preserve">SK-100</t>
  </si>
  <si>
    <t xml:space="preserve">Ambulance dispatch and SLA escalation</t>
  </si>
  <si>
    <t xml:space="preserve">CampusAmbulance, CampusSla</t>
  </si>
  <si>
    <t xml:space="preserve">Dispatch an ambulance and escalate when response targets are missed.</t>
  </si>
  <si>
    <t xml:space="preserve">• Timers and escalation chain
• Works with SOS incidents</t>
  </si>
  <si>
    <t xml:space="preserve">SK-101</t>
  </si>
  <si>
    <t xml:space="preserve">Hostel blocks</t>
  </si>
  <si>
    <t xml:space="preserve">CampusBlocks</t>
  </si>
  <si>
    <t xml:space="preserve">Blocks, rooms and wardens for delivery and visits.</t>
  </si>
  <si>
    <t xml:space="preserve">• CSV import
• Used by delivery addresses</t>
  </si>
  <si>
    <t xml:space="preserve">SK-102</t>
  </si>
  <si>
    <t xml:space="preserve">Wellness workshops and announcements</t>
  </si>
  <si>
    <t xml:space="preserve">CampusWellness, CampusAnnouncements</t>
  </si>
  <si>
    <t xml:space="preserve">Schedule workshops and send announcements.</t>
  </si>
  <si>
    <t xml:space="preserve">• Announcements never target by health data</t>
  </si>
  <si>
    <t xml:space="preserve">SK-103</t>
  </si>
  <si>
    <t xml:space="preserve">Campus settings, certificate inbox and reports export</t>
  </si>
  <si>
    <t xml:space="preserve">CampusSettings, CampusCertificates, CampusReports</t>
  </si>
  <si>
    <t xml:space="preserve">Campus requirements, medical certificates received from students, and report exports.</t>
  </si>
  <si>
    <t xml:space="preserve">• Exports aggregate only
• Certificates visible only as the student shared them</t>
  </si>
  <si>
    <t xml:space="preserve">SK-104</t>
  </si>
  <si>
    <t xml:space="preserve">Campus onboarding application</t>
  </si>
  <si>
    <t xml:space="preserve">CampusApply</t>
  </si>
  <si>
    <t xml:space="preserve">Colleges apply: AISHE code, admins, health desk, roll list, plan, data agreement.</t>
  </si>
  <si>
    <t xml:space="preserve">• Crisis support is non-negotiable in the plan
• Status tracker after submitting</t>
  </si>
  <si>
    <t xml:space="preserve">Tenant applications</t>
  </si>
  <si>
    <t xml:space="preserve">SKB-035</t>
  </si>
  <si>
    <t xml:space="preserve">SK-105</t>
  </si>
  <si>
    <t xml:space="preserve">E10 · Doctor console</t>
  </si>
  <si>
    <t xml:space="preserve">Doctor today, console and inbox</t>
  </si>
  <si>
    <t xml:space="preserve">ClinicianToday, ClinicianConsole, ClinicianInbox</t>
  </si>
  <si>
    <t xml:space="preserve">5 · Doctor</t>
  </si>
  <si>
    <t xml:space="preserve">The doctor’s day: queue, messages and alerts in one inbox.</t>
  </si>
  <si>
    <t xml:space="preserve">• Critical items first
• Loading/empty/error states</t>
  </si>
  <si>
    <t xml:space="preserve">SK-106</t>
  </si>
  <si>
    <t xml:space="preserve">Consult room and encounter note</t>
  </si>
  <si>
    <t xml:space="preserve">ClinicianConsultRoom, EncounterNote</t>
  </si>
  <si>
    <t xml:space="preserve">Video consult with patient context and the structured encounter note.</t>
  </si>
  <si>
    <t xml:space="preserve">• Only records the student shared
• Note autosaves; signed on completion</t>
  </si>
  <si>
    <t xml:space="preserve">Consult session + encounter</t>
  </si>
  <si>
    <t xml:space="preserve">SK-107</t>
  </si>
  <si>
    <t xml:space="preserve">Prescribe and renewals</t>
  </si>
  <si>
    <t xml:space="preserve">Prescribe, ClinicianRenewals</t>
  </si>
  <si>
    <t xml:space="preserve">E-prescription with allergy and interaction checks; renewal requests.</t>
  </si>
  <si>
    <t xml:space="preserve">• NMC number and digital signature
• Allergy warning blocks until acknowledged</t>
  </si>
  <si>
    <t xml:space="preserve">Rx service</t>
  </si>
  <si>
    <t xml:space="preserve">SK-108</t>
  </si>
  <si>
    <t xml:space="preserve">Critical results and report reviews</t>
  </si>
  <si>
    <t xml:space="preserve">ClinicalReview, ReportReviews</t>
  </si>
  <si>
    <t xml:space="preserve">Review lab results that need a doctor, including critical values.</t>
  </si>
  <si>
    <t xml:space="preserve">• Critical results page the doctor
• Review recorded before release to student (where required)</t>
  </si>
  <si>
    <t xml:space="preserve">SK-109</t>
  </si>
  <si>
    <t xml:space="preserve">Lab orders and referrals</t>
  </si>
  <si>
    <t xml:space="preserve">ClinicianLabOrder, ClinicianReferral</t>
  </si>
  <si>
    <t xml:space="preserve">Order lab tests and refer to specialists.</t>
  </si>
  <si>
    <t xml:space="preserve">• Price shown to the student before they accept</t>
  </si>
  <si>
    <t xml:space="preserve">SK-110</t>
  </si>
  <si>
    <t xml:space="preserve">Schedule and my patients</t>
  </si>
  <si>
    <t xml:space="preserve">ClinicianSchedule, ClinicianPatients</t>
  </si>
  <si>
    <t xml:space="preserve">Availability, slots and patient list (consented only).</t>
  </si>
  <si>
    <t xml:space="preserve">• Slots feed student booking
• Patient list shows only active consents</t>
  </si>
  <si>
    <t xml:space="preserve">SK-111</t>
  </si>
  <si>
    <t xml:space="preserve">Chronic care and AYUSH</t>
  </si>
  <si>
    <t xml:space="preserve">ClinicianChronic, ClinicianAyush</t>
  </si>
  <si>
    <t xml:space="preserve">Follow-up plans for long-term conditions and AYUSH practitioner views.</t>
  </si>
  <si>
    <t xml:space="preserve">• Plans visible to the student</t>
  </si>
  <si>
    <t xml:space="preserve">SK-112</t>
  </si>
  <si>
    <t xml:space="preserve">Decision support</t>
  </si>
  <si>
    <t xml:space="preserve">ClinicianAi</t>
  </si>
  <si>
    <t xml:space="preserve">Reference suggestions for the doctor.</t>
  </si>
  <si>
    <t xml:space="preserve">• Clearly labelled as suggestions; doctor decides
• Governed by AI governance settings</t>
  </si>
  <si>
    <t xml:space="preserve">SK-132</t>
  </si>
  <si>
    <t xml:space="preserve">AI governance and knowledge base</t>
  </si>
  <si>
    <t xml:space="preserve">Tier 1: clinical sign-off required.</t>
  </si>
  <si>
    <t xml:space="preserve">SK-113</t>
  </si>
  <si>
    <t xml:space="preserve">Earnings</t>
  </si>
  <si>
    <t xml:space="preserve">ClinicianEarnings</t>
  </si>
  <si>
    <t xml:space="preserve">Consult earnings and payouts.</t>
  </si>
  <si>
    <t xml:space="preserve">• Matches the billing ledger</t>
  </si>
  <si>
    <t xml:space="preserve">SK-142</t>
  </si>
  <si>
    <t xml:space="preserve">Billing ledger</t>
  </si>
  <si>
    <t xml:space="preserve">SK-114</t>
  </si>
  <si>
    <t xml:space="preserve">Doctor application</t>
  </si>
  <si>
    <t xml:space="preserve">ClinicianApply, WebClinicianApply</t>
  </si>
  <si>
    <t xml:space="preserve">Doctors apply: NMC check, qualifications, consult set-up, clinical rules.</t>
  </si>
  <si>
    <t xml:space="preserve">• NMC register check
• Status tracker</t>
  </si>
  <si>
    <t xml:space="preserve">Clinician applications</t>
  </si>
  <si>
    <t xml:space="preserve">SKB-034</t>
  </si>
  <si>
    <t xml:space="preserve">SK-115</t>
  </si>
  <si>
    <t xml:space="preserve">E11 · Partner console &amp; staff app</t>
  </si>
  <si>
    <t xml:space="preserve">Partner home and console</t>
  </si>
  <si>
    <t xml:space="preserve">VendorHome, VendorConsole</t>
  </si>
  <si>
    <t xml:space="preserve">6 · Partner — pharmacy, lab, clinic</t>
  </si>
  <si>
    <t xml:space="preserve">Home by provider type (pharmacy, lab, clinic) with today’s work.</t>
  </si>
  <si>
    <t xml:space="preserve">• Loading/empty/error states</t>
  </si>
  <si>
    <t xml:space="preserve">SK-116</t>
  </si>
  <si>
    <t xml:space="preserve">Orders, OTP handover and substitutions</t>
  </si>
  <si>
    <t xml:space="preserve">VendorOrders, VendorHandover, VendorSubstitution</t>
  </si>
  <si>
    <t xml:space="preserve">Accept, pack and hand over orders; propose substitutions for the student to approve.</t>
  </si>
  <si>
    <t xml:space="preserve">• Handover needs pass check + bag photo (OTP alone not enough)
• Substitution needs student approval</t>
  </si>
  <si>
    <t xml:space="preserve">SK-123</t>
  </si>
  <si>
    <t xml:space="preserve">Staff app: verify student at the counter</t>
  </si>
  <si>
    <t xml:space="preserve">SKB-020</t>
  </si>
  <si>
    <t xml:space="preserve">SK-117</t>
  </si>
  <si>
    <t xml:space="preserve">Catalogue, stock and reorder rules</t>
  </si>
  <si>
    <t xml:space="preserve">VendorCatalogue, VendorReorder</t>
  </si>
  <si>
    <t xml:space="preserve">Products, prices and stock; reorder thresholds.</t>
  </si>
  <si>
    <t xml:space="preserve">• Prices shown to students come from here
• Bulk CSV update</t>
  </si>
  <si>
    <t xml:space="preserve">SK-118</t>
  </si>
  <si>
    <t xml:space="preserve">Returns and settlement</t>
  </si>
  <si>
    <t xml:space="preserve">VendorReturns, VendorSettlement</t>
  </si>
  <si>
    <t xml:space="preserve">Handle returns and see earnings and settlement.</t>
  </si>
  <si>
    <t xml:space="preserve">• Settlement matches the billing ledger</t>
  </si>
  <si>
    <t xml:space="preserve">SK-119</t>
  </si>
  <si>
    <t xml:space="preserve">Pharmacist Rx review and dispensing register</t>
  </si>
  <si>
    <t xml:space="preserve">VendorRxReview, DispenseRegister</t>
  </si>
  <si>
    <t xml:space="preserve">Pharmacist checks prescriptions before dispatch and keeps the dispensing register.</t>
  </si>
  <si>
    <t xml:space="preserve">• Rx items held until approved
• Register exportable for inspection</t>
  </si>
  <si>
    <t xml:space="preserve">SK-120</t>
  </si>
  <si>
    <t xml:space="preserve">Lab sample queue, run sheet and cold chain</t>
  </si>
  <si>
    <t xml:space="preserve">LabQueue, LabCollection, LabColdChain</t>
  </si>
  <si>
    <t xml:space="preserve">Collection runs, sample tracking and temperature log.</t>
  </si>
  <si>
    <t xml:space="preserve">• Tube barcode linked to booking before collection
• Cold-chain breach flags the sample</t>
  </si>
  <si>
    <t xml:space="preserve">SK-124</t>
  </si>
  <si>
    <t xml:space="preserve">Staff app: hand over and collect sample</t>
  </si>
  <si>
    <t xml:space="preserve">SKB-021</t>
  </si>
  <si>
    <t xml:space="preserve">SK-121</t>
  </si>
  <si>
    <t xml:space="preserve">Release lab results</t>
  </si>
  <si>
    <t xml:space="preserve">LabReporting</t>
  </si>
  <si>
    <t xml:space="preserve">Enter/upload results and release them to the student.</t>
  </si>
  <si>
    <t xml:space="preserve">• Critical values routed to a doctor first
• Reference ranges from the lab</t>
  </si>
  <si>
    <t xml:space="preserve">Results upload</t>
  </si>
  <si>
    <t xml:space="preserve">SK-122</t>
  </si>
  <si>
    <t xml:space="preserve">Camp intake and camp day</t>
  </si>
  <si>
    <t xml:space="preserve">VendorCampIntake, CampDay</t>
  </si>
  <si>
    <t xml:space="preserve">Partner side of health camps: intake list and the day-of view.</t>
  </si>
  <si>
    <t xml:space="preserve">• Works offline with sync</t>
  </si>
  <si>
    <t xml:space="preserve">SK-125</t>
  </si>
  <si>
    <t xml:space="preserve">Staff app: camp fast mode</t>
  </si>
  <si>
    <t xml:space="preserve">SKB-022</t>
  </si>
  <si>
    <t xml:space="preserve">ScanVerify, WebScanVerify</t>
  </si>
  <si>
    <t xml:space="preserve">Scan the pass (or type the code), see the student, take a live photo, compare, confirm same/not same.</t>
  </si>
  <si>
    <t xml:space="preserve">• Expired code and offline states
• Photo match is a hint only; staff decide
• Live photo deleted after 24 h unless disputed</t>
  </si>
  <si>
    <t xml:space="preserve">Pass verify</t>
  </si>
  <si>
    <t xml:space="preserve">SKB-019</t>
  </si>
  <si>
    <t xml:space="preserve">StaffHandover, StaffCollect</t>
  </si>
  <si>
    <t xml:space="preserve">Hand over with bag photo and counselling tick; collect with fasting confirm and tube scan.</t>
  </si>
  <si>
    <t xml:space="preserve">• Hand over locked until bag photo + counselling tick
• Rx only to the matched student</t>
  </si>
  <si>
    <t xml:space="preserve">SKB-020, SKB-021</t>
  </si>
  <si>
    <t xml:space="preserve">StaffCampFast</t>
  </si>
  <si>
    <t xml:space="preserve">High-volume check-in for camps.</t>
  </si>
  <si>
    <t xml:space="preserve">• Counter, stop, manual, pending sync
• Works offline</t>
  </si>
  <si>
    <t xml:space="preserve">SK-126</t>
  </si>
  <si>
    <t xml:space="preserve">Partner application</t>
  </si>
  <si>
    <t xml:space="preserve">PartnerApply, WebPartnerApply</t>
  </si>
  <si>
    <t xml:space="preserve">Type, GSTIN, licences (register-checked), ₹1 penny drop, rules, tracker.</t>
  </si>
  <si>
    <t xml:space="preserve">• Licences checked against registers
• Status tracker</t>
  </si>
  <si>
    <t xml:space="preserve">Partner applications</t>
  </si>
  <si>
    <t xml:space="preserve">SKB-033</t>
  </si>
  <si>
    <t xml:space="preserve">SK-127</t>
  </si>
  <si>
    <t xml:space="preserve">Partner staff and roles</t>
  </si>
  <si>
    <t xml:space="preserve">PartnerStaff</t>
  </si>
  <si>
    <t xml:space="preserve">Add staff and roles; roles decide who can hand over Rx.</t>
  </si>
  <si>
    <t xml:space="preserve">• Removal signs out immediately</t>
  </si>
  <si>
    <t xml:space="preserve">SKB-036</t>
  </si>
  <si>
    <t xml:space="preserve">E12 · Super admin console</t>
  </si>
  <si>
    <t xml:space="preserve">AdminSignIn, SuperAdminConsole</t>
  </si>
  <si>
    <t xml:space="preserve">Separate staff sign-in with 2FA, then the super-admin home.</t>
  </si>
  <si>
    <t xml:space="preserve">• No demo admin in production
• 2FA required
• Session timeout</t>
  </si>
  <si>
    <t xml:space="preserve">SK-003, SK-017</t>
  </si>
  <si>
    <t xml:space="preserve">Turn demo mode off by default (no demo admin, no fixed OTP); Navigation: phone tab bar, web header, footer and role sidebars</t>
  </si>
  <si>
    <t xml:space="preserve">SK-129</t>
  </si>
  <si>
    <t xml:space="preserve">Accounts, roles and organisations</t>
  </si>
  <si>
    <t xml:space="preserve">AdminAccounts, AdminTenants</t>
  </si>
  <si>
    <t xml:space="preserve">Manage all accounts, roles and tenant organisations (campuses, partners).</t>
  </si>
  <si>
    <t xml:space="preserve">• Role changes logged
• Least privilege by default</t>
  </si>
  <si>
    <t xml:space="preserve">SK-128, SK-019</t>
  </si>
  <si>
    <t xml:space="preserve">Staff and admin sign-in, console home; Console data table</t>
  </si>
  <si>
    <t xml:space="preserve">SK-130</t>
  </si>
  <si>
    <t xml:space="preserve">Audit explorer, break-glass log and check-in audit</t>
  </si>
  <si>
    <t xml:space="preserve">AuditExplorer, AdminBreakGlassLog, AdminCheckins</t>
  </si>
  <si>
    <t xml:space="preserve">Search every access and check-in event.</t>
  </si>
  <si>
    <t xml:space="preserve">• Audit never shows face photos, purchases or ID numbers
• 3 strikes in 7 days pauses a counter</t>
  </si>
  <si>
    <t xml:space="preserve">SKB-024</t>
  </si>
  <si>
    <t xml:space="preserve">SK-131</t>
  </si>
  <si>
    <t xml:space="preserve">Support case detail ("This wasn’t me")</t>
  </si>
  <si>
    <t xml:space="preserve">AdminCase</t>
  </si>
  <si>
    <t xml:space="preserve">Case page for disputed check-ins and support requests.</t>
  </si>
  <si>
    <t xml:space="preserve">• Closes only after a call is logged
• Held photo deleted on close</t>
  </si>
  <si>
    <t xml:space="preserve">AiGovernance, AdminKnowledge</t>
  </si>
  <si>
    <t xml:space="preserve">Rules and sources Ayush may use; review and versioning.</t>
  </si>
  <si>
    <t xml:space="preserve">• Every source versioned and reviewed
• Change log</t>
  </si>
  <si>
    <t xml:space="preserve">SK-133</t>
  </si>
  <si>
    <t xml:space="preserve">Catalogue ops, plans and pricing</t>
  </si>
  <si>
    <t xml:space="preserve">CatalogOps, AdminPlansPricing</t>
  </si>
  <si>
    <t xml:space="preserve">Central catalogue moderation and plan prices.</t>
  </si>
  <si>
    <t xml:space="preserve">• Price change shows every surface it affects</t>
  </si>
  <si>
    <t xml:space="preserve">SK-134</t>
  </si>
  <si>
    <t xml:space="preserve">Integrations, API keys and token sync</t>
  </si>
  <si>
    <t xml:space="preserve">Integrations, AdminApiKeys, AdminTokens</t>
  </si>
  <si>
    <t xml:space="preserve">Third-party integrations, key rotation and design-token sync status.</t>
  </si>
  <si>
    <t xml:space="preserve">• Keys masked; rotate button
• Last-used time per key</t>
  </si>
  <si>
    <t xml:space="preserve">SK-135</t>
  </si>
  <si>
    <t xml:space="preserve">Erasure requests and consent policy</t>
  </si>
  <si>
    <t xml:space="preserve">DpdpQueue, AdminConsentPolicy</t>
  </si>
  <si>
    <t xml:space="preserve">DPDP erasure queue and consent policy versions.</t>
  </si>
  <si>
    <t xml:space="preserve">• Erasure within 30 days, legally retained items listed
• Consent version change forces re-consent</t>
  </si>
  <si>
    <t xml:space="preserve">SK-059, SK-027</t>
  </si>
  <si>
    <t xml:space="preserve">Delete my account; Data-protection consent (DPDP)</t>
  </si>
  <si>
    <t xml:space="preserve">SK-136</t>
  </si>
  <si>
    <t xml:space="preserve">Clinician verification and partner applications</t>
  </si>
  <si>
    <t xml:space="preserve">AdminVerification, AdminPartners</t>
  </si>
  <si>
    <t xml:space="preserve">Approve doctors and partners after register checks.</t>
  </si>
  <si>
    <t xml:space="preserve">• Reason required for rejection
• Applicant notified</t>
  </si>
  <si>
    <t xml:space="preserve">SK-114, SK-126</t>
  </si>
  <si>
    <t xml:space="preserve">Doctor application; Partner application</t>
  </si>
  <si>
    <t xml:space="preserve">SK-137</t>
  </si>
  <si>
    <t xml:space="preserve">Claims adjudication</t>
  </si>
  <si>
    <t xml:space="preserve">ClaimsAdjudication</t>
  </si>
  <si>
    <t xml:space="preserve">Review and decide claims.</t>
  </si>
  <si>
    <t xml:space="preserve">• Only consented documents visible</t>
  </si>
  <si>
    <t xml:space="preserve">SK-138</t>
  </si>
  <si>
    <t xml:space="preserve">Operations, SOS and casualty handover</t>
  </si>
  <si>
    <t xml:space="preserve">AdminOps, AdminHandover</t>
  </si>
  <si>
    <t xml:space="preserve">Live SOS and incident view across campuses; handover to hospitals.</t>
  </si>
  <si>
    <t xml:space="preserve">• Real-time updates
• Handover packet shares only emergency card data</t>
  </si>
  <si>
    <t xml:space="preserve">SK-139</t>
  </si>
  <si>
    <t xml:space="preserve">Surveillance map and Rule L firewall</t>
  </si>
  <si>
    <t xml:space="preserve">AdminSurveillance, AdminRuleL</t>
  </si>
  <si>
    <t xml:space="preserve">Aggregate disease surveillance and the commerce firewall monitor.</t>
  </si>
  <si>
    <t xml:space="preserve">• Aggregate only
• Rule L violations listed with the surface</t>
  </si>
  <si>
    <t xml:space="preserve">SK-140</t>
  </si>
  <si>
    <t xml:space="preserve">Code sentinel and feature flags</t>
  </si>
  <si>
    <t xml:space="preserve">AdminSentinel, AdminFlags</t>
  </si>
  <si>
    <t xml:space="preserve">Code health checks and per-campus feature flags.</t>
  </si>
  <si>
    <t xml:space="preserve">• Flag changes logged
• Safety features cannot be turned off</t>
  </si>
  <si>
    <t xml:space="preserve">SK-141</t>
  </si>
  <si>
    <t xml:space="preserve">Message and notification templates</t>
  </si>
  <si>
    <t xml:space="preserve">AdminTemplates, NotificationTemplates</t>
  </si>
  <si>
    <t xml:space="preserve">7 · Super admin, 8 · Design system &amp; flow map</t>
  </si>
  <si>
    <t xml:space="preserve">WhatsApp, SMS and push templates with the copy rules.</t>
  </si>
  <si>
    <t xml:space="preserve">• No result values, medicine names or diagnoses
• Never ask for codes or passwords</t>
  </si>
  <si>
    <t xml:space="preserve">AdminBilling</t>
  </si>
  <si>
    <t xml:space="preserve">All payments, refunds and settlements.</t>
  </si>
  <si>
    <t xml:space="preserve">• Reconciles with payment gateway
• Export</t>
  </si>
  <si>
    <t xml:space="preserve">SK-143</t>
  </si>
  <si>
    <t xml:space="preserve">Intake and OCR queue</t>
  </si>
  <si>
    <t xml:space="preserve">AdminIntake</t>
  </si>
  <si>
    <t xml:space="preserve">Review uploaded documents that OCR could not read confidently.</t>
  </si>
  <si>
    <t xml:space="preserve">• Reviewer sees only what is needed
• Student notified if a clearer copy is needed</t>
  </si>
  <si>
    <t xml:space="preserve">SK-144</t>
  </si>
  <si>
    <t xml:space="preserve">E13 · Quality &amp; launch readiness</t>
  </si>
  <si>
    <t xml:space="preserve">Accessibility pass on built screens</t>
  </si>
  <si>
    <t xml:space="preserve">All</t>
  </si>
  <si>
    <t xml:space="preserve">Audit every built screen: contrast, 44 px targets, labels, focus, dialogs, reduced motion.</t>
  </si>
  <si>
    <t xml:space="preserve">• axe clean on every page
• Screen reader walk-through of sign-in, booking, crisis</t>
  </si>
  <si>
    <t xml:space="preserve">SKB-040</t>
  </si>
  <si>
    <t xml:space="preserve">SK-145</t>
  </si>
  <si>
    <t xml:space="preserve">First-time and offline states on student screens</t>
  </si>
  <si>
    <t xml:space="preserve">YourCare, RecordsVault, LabResults, OrderHistory, Appointments, Medications</t>
  </si>
  <si>
    <t xml:space="preserve">Make sure every student screen has its first-time and offline states from the canvas.</t>
  </si>
  <si>
    <t xml:space="preserve">• Offline banner + what still works
• First-time steps</t>
  </si>
  <si>
    <t xml:space="preserve">SK-146</t>
  </si>
  <si>
    <t xml:space="preserve">End-to-end tests for core flows</t>
  </si>
  <si>
    <t xml:space="preserve">Automated tests: sign up → verify → book lab → pay → track; consult → Rx → order; SOS; delete account.</t>
  </si>
  <si>
    <t xml:space="preserve">• Run in CI on every PR to main
• Seeded test data only in test env</t>
  </si>
  <si>
    <t xml:space="preserve">SK-147</t>
  </si>
  <si>
    <t xml:space="preserve">Launch content and legal review</t>
  </si>
  <si>
    <t xml:space="preserve">Legal, WebLegal, OnboardingConsent, CrisisSupport</t>
  </si>
  <si>
    <t xml:space="preserve">2 · Student app (mobile), 3b · Student web — signed in, 1 · Launch &amp; onboarding</t>
  </si>
  <si>
    <t xml:space="preserve">Real grievance officer details, legal review of consent and terms, clinical review of Tier 1 copy.</t>
  </si>
  <si>
    <t xml:space="preserve">• Named reviewers signed off
• Placeholders removed</t>
  </si>
  <si>
    <t xml:space="preserve">% done</t>
  </si>
  <si>
    <t xml:space="preserve">Screen</t>
  </si>
  <si>
    <t xml:space="preserve">Title on canvas</t>
  </si>
  <si>
    <t xml:space="preserve">Built in ticket(s)</t>
  </si>
  <si>
    <t xml:space="preserve">WebSignOut</t>
  </si>
  <si>
    <t xml:space="preserve">Main</t>
  </si>
  <si>
    <t xml:space="preserve">Splash — changes with the time of day (morning · afternoon · evening)</t>
  </si>
  <si>
    <t xml:space="preserve">SplashPulse</t>
  </si>
  <si>
    <t xml:space="preserve">Splash variant — afternoon (heartbeat)</t>
  </si>
  <si>
    <t xml:space="preserve">SplashVault</t>
  </si>
  <si>
    <t xml:space="preserve">Splash variant — evening (care circle)</t>
  </si>
  <si>
    <t xml:space="preserve">Onboarding1</t>
  </si>
  <si>
    <t xml:space="preserve">Onboarding 1 — Campus care</t>
  </si>
  <si>
    <t xml:space="preserve">Onboarding2</t>
  </si>
  <si>
    <t xml:space="preserve">Onboarding 2 — Health vault</t>
  </si>
  <si>
    <t xml:space="preserve">Onboarding3</t>
  </si>
  <si>
    <t xml:space="preserve">Onboarding 3 — Ayush AI</t>
  </si>
  <si>
    <t xml:space="preserve">SignIn</t>
  </si>
  <si>
    <t xml:space="preserve">Sign in</t>
  </si>
  <si>
    <t xml:space="preserve">SK-003, SK-010, SK-021, SK-025</t>
  </si>
  <si>
    <t xml:space="preserve">OtpVerify</t>
  </si>
  <si>
    <t xml:space="preserve">OTP verification</t>
  </si>
  <si>
    <t xml:space="preserve">SK-003, SK-010, SK-025</t>
  </si>
  <si>
    <t xml:space="preserve">CreateAccount</t>
  </si>
  <si>
    <t xml:space="preserve">Create account — step 1</t>
  </si>
  <si>
    <t xml:space="preserve">SK-010, SK-026</t>
  </si>
  <si>
    <t xml:space="preserve">CampusVerify</t>
  </si>
  <si>
    <t xml:space="preserve">Campus verify — step 2</t>
  </si>
  <si>
    <t xml:space="preserve">ProfileSetup</t>
  </si>
  <si>
    <t xml:space="preserve">Care profile — step 3</t>
  </si>
  <si>
    <t xml:space="preserve">Permissions</t>
  </si>
  <si>
    <t xml:space="preserve">Permissions — step 4</t>
  </si>
  <si>
    <t xml:space="preserve">SK-011, SK-026</t>
  </si>
  <si>
    <t xml:space="preserve">AccountReady</t>
  </si>
  <si>
    <t xml:space="preserve">Workspace ready</t>
  </si>
  <si>
    <t xml:space="preserve">SignOut</t>
  </si>
  <si>
    <t xml:space="preserve">Sign out</t>
  </si>
  <si>
    <t xml:space="preserve">Onboarding 4/5 — DPDP consent</t>
  </si>
  <si>
    <t xml:space="preserve">SK-011, SK-021, SK-027, SK-147</t>
  </si>
  <si>
    <t xml:space="preserve">Verify it’s you — photo, email, college ID, government ID</t>
  </si>
  <si>
    <t xml:space="preserve">Verification required (shown on any service)</t>
  </si>
  <si>
    <t xml:space="preserve">LoggedOut</t>
  </si>
  <si>
    <t xml:space="preserve">Logged out (mobile)</t>
  </si>
  <si>
    <t xml:space="preserve">GuardianConsent</t>
  </si>
  <si>
    <t xml:space="preserve">Under 18 — ask a guardian (student)</t>
  </si>
  <si>
    <t xml:space="preserve">GuardianApprove</t>
  </si>
  <si>
    <t xml:space="preserve">Guardian’s approval page (SMS link)</t>
  </si>
  <si>
    <t xml:space="preserve">LostPhone</t>
  </si>
  <si>
    <t xml:space="preserve">Lost your phone — from a friend’s phone</t>
  </si>
  <si>
    <t xml:space="preserve">NewDevice</t>
  </si>
  <si>
    <t xml:space="preserve">New phone — move your account</t>
  </si>
  <si>
    <t xml:space="preserve">SearchEntry</t>
  </si>
  <si>
    <t xml:space="preserve">Search entry</t>
  </si>
  <si>
    <t xml:space="preserve">SearchTyping</t>
  </si>
  <si>
    <t xml:space="preserve">Typing &amp; suggestions</t>
  </si>
  <si>
    <t xml:space="preserve">SearchLoading</t>
  </si>
  <si>
    <t xml:space="preserve">Searching (skeletons)</t>
  </si>
  <si>
    <t xml:space="preserve">SearchResults</t>
  </si>
  <si>
    <t xml:space="preserve">All results — tabbed</t>
  </si>
  <si>
    <t xml:space="preserve">NoResults</t>
  </si>
  <si>
    <t xml:space="preserve">No results</t>
  </si>
  <si>
    <t xml:space="preserve">LabResults</t>
  </si>
  <si>
    <t xml:space="preserve">Lab test results</t>
  </si>
  <si>
    <t xml:space="preserve">SK-036, SK-145</t>
  </si>
  <si>
    <t xml:space="preserve">DoctorResults</t>
  </si>
  <si>
    <t xml:space="preserve">Doctor results</t>
  </si>
  <si>
    <t xml:space="preserve">Appointments</t>
  </si>
  <si>
    <t xml:space="preserve">SK-037, SK-145</t>
  </si>
  <si>
    <t xml:space="preserve">SK-012, SK-040, SK-145</t>
  </si>
  <si>
    <t xml:space="preserve">Medications</t>
  </si>
  <si>
    <t xml:space="preserve">Medicines</t>
  </si>
  <si>
    <t xml:space="preserve">SK-041, SK-145</t>
  </si>
  <si>
    <t xml:space="preserve">Devices &amp; sensors</t>
  </si>
  <si>
    <t xml:space="preserve">SK-002, SK-043</t>
  </si>
  <si>
    <t xml:space="preserve">Health vault</t>
  </si>
  <si>
    <t xml:space="preserve">SK-046, SK-145</t>
  </si>
  <si>
    <t xml:space="preserve">Agent Ayush</t>
  </si>
  <si>
    <t xml:space="preserve">EmergencyCard</t>
  </si>
  <si>
    <t xml:space="preserve">Offline emergency card</t>
  </si>
  <si>
    <t xml:space="preserve">SK-021, SK-050</t>
  </si>
  <si>
    <t xml:space="preserve">SK-021, SK-051, SK-147</t>
  </si>
  <si>
    <t xml:space="preserve">ShopHome</t>
  </si>
  <si>
    <t xml:space="preserve">Shop — Home</t>
  </si>
  <si>
    <t xml:space="preserve">ProductList</t>
  </si>
  <si>
    <t xml:space="preserve">Shop — Product grid</t>
  </si>
  <si>
    <t xml:space="preserve">ProductDetail</t>
  </si>
  <si>
    <t xml:space="preserve">Shop — Product detail</t>
  </si>
  <si>
    <t xml:space="preserve">LabPackages</t>
  </si>
  <si>
    <t xml:space="preserve">Shop — Lab packages</t>
  </si>
  <si>
    <t xml:space="preserve">Cart</t>
  </si>
  <si>
    <t xml:space="preserve">Shop — Cart</t>
  </si>
  <si>
    <t xml:space="preserve">Checkout</t>
  </si>
  <si>
    <t xml:space="preserve">Checkout — delivery</t>
  </si>
  <si>
    <t xml:space="preserve">Payment</t>
  </si>
  <si>
    <t xml:space="preserve">Checkout — payment</t>
  </si>
  <si>
    <t xml:space="preserve">OrderSuccess</t>
  </si>
  <si>
    <t xml:space="preserve">Order placed</t>
  </si>
  <si>
    <t xml:space="preserve">OrderTracking</t>
  </si>
  <si>
    <t xml:space="preserve">Order tracking</t>
  </si>
  <si>
    <t xml:space="preserve">OrderHistory</t>
  </si>
  <si>
    <t xml:space="preserve">Order history</t>
  </si>
  <si>
    <t xml:space="preserve">SK-064, SK-145</t>
  </si>
  <si>
    <t xml:space="preserve">MoreHub</t>
  </si>
  <si>
    <t xml:space="preserve">More / account</t>
  </si>
  <si>
    <t xml:space="preserve">SK-012, SK-068</t>
  </si>
  <si>
    <t xml:space="preserve">StudentProfile</t>
  </si>
  <si>
    <t xml:space="preserve">Student profile (flat + glass)</t>
  </si>
  <si>
    <t xml:space="preserve">DigitalId</t>
  </si>
  <si>
    <t xml:space="preserve">Digital health ID</t>
  </si>
  <si>
    <t xml:space="preserve">Plan &amp; billing</t>
  </si>
  <si>
    <t xml:space="preserve">SK-005, SK-070</t>
  </si>
  <si>
    <t xml:space="preserve">Cover &amp; claims</t>
  </si>
  <si>
    <t xml:space="preserve">HelpCentre</t>
  </si>
  <si>
    <t xml:space="preserve">Help centre</t>
  </si>
  <si>
    <t xml:space="preserve">MyReports</t>
  </si>
  <si>
    <t xml:space="preserve">My lab tests</t>
  </si>
  <si>
    <t xml:space="preserve">ReportInsights</t>
  </si>
  <si>
    <t xml:space="preserve">Report insights</t>
  </si>
  <si>
    <t xml:space="preserve">SosBeacon</t>
  </si>
  <si>
    <t xml:space="preserve">SOS beacon</t>
  </si>
  <si>
    <t xml:space="preserve">SK-021, SK-052</t>
  </si>
  <si>
    <t xml:space="preserve">IceContacts</t>
  </si>
  <si>
    <t xml:space="preserve">Emergency contacts</t>
  </si>
  <si>
    <t xml:space="preserve">RefillRequest</t>
  </si>
  <si>
    <t xml:space="preserve">Refill request</t>
  </si>
  <si>
    <t xml:space="preserve">ReturnRequest</t>
  </si>
  <si>
    <t xml:space="preserve">Return or refund</t>
  </si>
  <si>
    <t xml:space="preserve">PaymentResult</t>
  </si>
  <si>
    <t xml:space="preserve">Payment result (mobile)</t>
  </si>
  <si>
    <t xml:space="preserve">ResultLabBooked</t>
  </si>
  <si>
    <t xml:space="preserve">Result — lab test booked</t>
  </si>
  <si>
    <t xml:space="preserve">Result — camp booked</t>
  </si>
  <si>
    <t xml:space="preserve">ResultRefund</t>
  </si>
  <si>
    <t xml:space="preserve">Result — return &amp; refund</t>
  </si>
  <si>
    <t xml:space="preserve">MyPass</t>
  </si>
  <si>
    <t xml:space="preserve">My check-in pass (QR + code)</t>
  </si>
  <si>
    <t xml:space="preserve">CheckinReceipt</t>
  </si>
  <si>
    <t xml:space="preserve">Handover receipt (bag photo, how you were checked)</t>
  </si>
  <si>
    <t xml:space="preserve">Leaving campus — personal account</t>
  </si>
  <si>
    <t xml:space="preserve">Delete my account (7 days to cancel)</t>
  </si>
  <si>
    <t xml:space="preserve">SK-011, SK-061</t>
  </si>
  <si>
    <t xml:space="preserve">ConsultSummary</t>
  </si>
  <si>
    <t xml:space="preserve">Visit summary + e-prescription</t>
  </si>
  <si>
    <t xml:space="preserve">SosDebrief</t>
  </si>
  <si>
    <t xml:space="preserve">After an SOS</t>
  </si>
  <si>
    <t xml:space="preserve">MyRequests</t>
  </si>
  <si>
    <t xml:space="preserve">My requests</t>
  </si>
  <si>
    <t xml:space="preserve">Privacy, terms, grievance officer</t>
  </si>
  <si>
    <t xml:space="preserve">SK-060, SK-147</t>
  </si>
  <si>
    <t xml:space="preserve">Landing — Discover (live)</t>
  </si>
  <si>
    <t xml:space="preserve">SK-017, SK-073</t>
  </si>
  <si>
    <t xml:space="preserve">WebLabTests</t>
  </si>
  <si>
    <t xml:space="preserve">Web — Lab tests landing</t>
  </si>
  <si>
    <t xml:space="preserve">WebLabList</t>
  </si>
  <si>
    <t xml:space="preserve">Web — Lab test category</t>
  </si>
  <si>
    <t xml:space="preserve">Web — Consult a doctor</t>
  </si>
  <si>
    <t xml:space="preserve">WebPrograms</t>
  </si>
  <si>
    <t xml:space="preserve">Web — Care programmes</t>
  </si>
  <si>
    <t xml:space="preserve">WebWellness</t>
  </si>
  <si>
    <t xml:space="preserve">Web — Wellness training</t>
  </si>
  <si>
    <t xml:space="preserve">Web — Plans</t>
  </si>
  <si>
    <t xml:space="preserve">SK-005, SK-077</t>
  </si>
  <si>
    <t xml:space="preserve">LandingCampus</t>
  </si>
  <si>
    <t xml:space="preserve">Landing — for campuses</t>
  </si>
  <si>
    <t xml:space="preserve">LandingClinician</t>
  </si>
  <si>
    <t xml:space="preserve">Landing — for clinicians</t>
  </si>
  <si>
    <t xml:space="preserve">WebPartnerships</t>
  </si>
  <si>
    <t xml:space="preserve">Web — Partnerships</t>
  </si>
  <si>
    <t xml:space="preserve">WebSignIn</t>
  </si>
  <si>
    <t xml:space="preserve">Web — Sign in</t>
  </si>
  <si>
    <t xml:space="preserve">SK-021, SK-079</t>
  </si>
  <si>
    <t xml:space="preserve">WebLoggedOut</t>
  </si>
  <si>
    <t xml:space="preserve">Web — logged out (confirmation + feedback)</t>
  </si>
  <si>
    <t xml:space="preserve">WebLostPhone</t>
  </si>
  <si>
    <t xml:space="preserve">Web — lost your phone</t>
  </si>
  <si>
    <t xml:space="preserve">WebVerify</t>
  </si>
  <si>
    <t xml:space="preserve">Web — Verify it’s you (photo, email, college ID, government ID)</t>
  </si>
  <si>
    <t xml:space="preserve">WebVerifyGate</t>
  </si>
  <si>
    <t xml:space="preserve">Web — verification required (shown on any service)</t>
  </si>
  <si>
    <t xml:space="preserve">WebGuardianConsent</t>
  </si>
  <si>
    <t xml:space="preserve">Web — under 18, ask a guardian</t>
  </si>
  <si>
    <t xml:space="preserve">WebGuardianApprove</t>
  </si>
  <si>
    <t xml:space="preserve">Web — guardian’s approval page</t>
  </si>
  <si>
    <t xml:space="preserve">WebHome</t>
  </si>
  <si>
    <t xml:space="preserve">Web — Home</t>
  </si>
  <si>
    <t xml:space="preserve">SK-017, SK-081</t>
  </si>
  <si>
    <t xml:space="preserve">WebDashboard</t>
  </si>
  <si>
    <t xml:space="preserve">Web — Care dashboard</t>
  </si>
  <si>
    <t xml:space="preserve">Web — Health vault</t>
  </si>
  <si>
    <t xml:space="preserve">WebMyLabTests</t>
  </si>
  <si>
    <t xml:space="preserve">Web — My lab tests</t>
  </si>
  <si>
    <t xml:space="preserve">WebReportInsights</t>
  </si>
  <si>
    <t xml:space="preserve">Web — Report insights</t>
  </si>
  <si>
    <t xml:space="preserve">WebReportAssistant</t>
  </si>
  <si>
    <t xml:space="preserve">Web — Ayush report explainer</t>
  </si>
  <si>
    <t xml:space="preserve">Web — Ayush</t>
  </si>
  <si>
    <t xml:space="preserve">WebConsultSummary</t>
  </si>
  <si>
    <t xml:space="preserve">Web — visit summary</t>
  </si>
  <si>
    <t xml:space="preserve">WebEmergencyCard</t>
  </si>
  <si>
    <t xml:space="preserve">Web — emergency card editor</t>
  </si>
  <si>
    <t xml:space="preserve">WebPass</t>
  </si>
  <si>
    <t xml:space="preserve">Web — my check-in pass</t>
  </si>
  <si>
    <t xml:space="preserve">WebSearchResults</t>
  </si>
  <si>
    <t xml:space="preserve">Web — Search results</t>
  </si>
  <si>
    <t xml:space="preserve">WebShop</t>
  </si>
  <si>
    <t xml:space="preserve">Web — Shop</t>
  </si>
  <si>
    <t xml:space="preserve">WebProduct</t>
  </si>
  <si>
    <t xml:space="preserve">Web — Product</t>
  </si>
  <si>
    <t xml:space="preserve">WebCheckout</t>
  </si>
  <si>
    <t xml:space="preserve">Web — Checkout</t>
  </si>
  <si>
    <t xml:space="preserve">WebOrders</t>
  </si>
  <si>
    <t xml:space="preserve">Web — My orders</t>
  </si>
  <si>
    <t xml:space="preserve">WebReorder</t>
  </si>
  <si>
    <t xml:space="preserve">Web — Buy again &amp; ratings</t>
  </si>
  <si>
    <t xml:space="preserve">WebAccount</t>
  </si>
  <si>
    <t xml:space="preserve">Web — Account</t>
  </si>
  <si>
    <t xml:space="preserve">WebSecurity</t>
  </si>
  <si>
    <t xml:space="preserve">Web — sign-in &amp; security (2FA, sessions)</t>
  </si>
  <si>
    <t xml:space="preserve">WebNotifications</t>
  </si>
  <si>
    <t xml:space="preserve">Web — notifications</t>
  </si>
  <si>
    <t xml:space="preserve">WebRequests</t>
  </si>
  <si>
    <t xml:space="preserve">Web — my requests</t>
  </si>
  <si>
    <t xml:space="preserve">WebLegal</t>
  </si>
  <si>
    <t xml:space="preserve">Web — privacy, terms, grievance</t>
  </si>
  <si>
    <t xml:space="preserve">SK-089, SK-147</t>
  </si>
  <si>
    <t xml:space="preserve">WebLeaveCampus</t>
  </si>
  <si>
    <t xml:space="preserve">Web — leaving campus</t>
  </si>
  <si>
    <t xml:space="preserve">WebDeleteAccount</t>
  </si>
  <si>
    <t xml:space="preserve">Web — delete my account</t>
  </si>
  <si>
    <t xml:space="preserve">CampusAdminConsole</t>
  </si>
  <si>
    <t xml:space="preserve">Campus admin console</t>
  </si>
  <si>
    <t xml:space="preserve">SK-017, SK-090</t>
  </si>
  <si>
    <t xml:space="preserve">Campus — health camps</t>
  </si>
  <si>
    <t xml:space="preserve">CampusApprovals</t>
  </si>
  <si>
    <t xml:space="preserve">Campus — verification queue</t>
  </si>
  <si>
    <t xml:space="preserve">CampusOverview</t>
  </si>
  <si>
    <t xml:space="preserve">Campus — overview</t>
  </si>
  <si>
    <t xml:space="preserve">CampusRoster</t>
  </si>
  <si>
    <t xml:space="preserve">Campus — students &amp; CSV import</t>
  </si>
  <si>
    <t xml:space="preserve">SK-019, SK-091</t>
  </si>
  <si>
    <t xml:space="preserve">Campus — health insights</t>
  </si>
  <si>
    <t xml:space="preserve">CampusAccessRequests</t>
  </si>
  <si>
    <t xml:space="preserve">Campus — access requests</t>
  </si>
  <si>
    <t xml:space="preserve">CampusBreakGlass</t>
  </si>
  <si>
    <t xml:space="preserve">Campus — emergency access (break-glass)</t>
  </si>
  <si>
    <t xml:space="preserve">CampusIncidents</t>
  </si>
  <si>
    <t xml:space="preserve">Campus — incident desk</t>
  </si>
  <si>
    <t xml:space="preserve">CampusCounsellor</t>
  </si>
  <si>
    <t xml:space="preserve">Campus — counsellor queue</t>
  </si>
  <si>
    <t xml:space="preserve">Campus — admin team &amp; roles</t>
  </si>
  <si>
    <t xml:space="preserve">CampusIsolation</t>
  </si>
  <si>
    <t xml:space="preserve">Campus — isolation</t>
  </si>
  <si>
    <t xml:space="preserve">CampusOutbreak</t>
  </si>
  <si>
    <t xml:space="preserve">Campus — outbreak radar</t>
  </si>
  <si>
    <t xml:space="preserve">CampusWater</t>
  </si>
  <si>
    <t xml:space="preserve">Campus — water radar</t>
  </si>
  <si>
    <t xml:space="preserve">CampusSanitary</t>
  </si>
  <si>
    <t xml:space="preserve">Campus — sanitary audit</t>
  </si>
  <si>
    <t xml:space="preserve">Campus — mess &amp; diet</t>
  </si>
  <si>
    <t xml:space="preserve">CampusAmbulance</t>
  </si>
  <si>
    <t xml:space="preserve">Campus — ambulance dispatch</t>
  </si>
  <si>
    <t xml:space="preserve">CampusSla</t>
  </si>
  <si>
    <t xml:space="preserve">Campus — SLA escalation</t>
  </si>
  <si>
    <t xml:space="preserve">Campus — hostel blocks</t>
  </si>
  <si>
    <t xml:space="preserve">CampusDischarge</t>
  </si>
  <si>
    <t xml:space="preserve">Campus — discharge certificates</t>
  </si>
  <si>
    <t xml:space="preserve">CampusWellness</t>
  </si>
  <si>
    <t xml:space="preserve">Campus — wellness workshops</t>
  </si>
  <si>
    <t xml:space="preserve">CampusSettings</t>
  </si>
  <si>
    <t xml:space="preserve">Campus — settings &amp; requirements</t>
  </si>
  <si>
    <t xml:space="preserve">CampusCertificates</t>
  </si>
  <si>
    <t xml:space="preserve">Campus — certificate inbox</t>
  </si>
  <si>
    <t xml:space="preserve">CampusAnnouncements</t>
  </si>
  <si>
    <t xml:space="preserve">Campus — announcements</t>
  </si>
  <si>
    <t xml:space="preserve">CampusReports</t>
  </si>
  <si>
    <t xml:space="preserve">Campus — reports export</t>
  </si>
  <si>
    <t xml:space="preserve">Campus onboarding</t>
  </si>
  <si>
    <t xml:space="preserve">ClinicianConsole</t>
  </si>
  <si>
    <t xml:space="preserve">Clinician console</t>
  </si>
  <si>
    <t xml:space="preserve">SK-017, SK-105</t>
  </si>
  <si>
    <t xml:space="preserve">ClinicalReview</t>
  </si>
  <si>
    <t xml:space="preserve">Clinician — critical results</t>
  </si>
  <si>
    <t xml:space="preserve">EncounterNote</t>
  </si>
  <si>
    <t xml:space="preserve">Clinician — encounter note</t>
  </si>
  <si>
    <t xml:space="preserve">Prescribe</t>
  </si>
  <si>
    <t xml:space="preserve">Clinician — prescribe</t>
  </si>
  <si>
    <t xml:space="preserve">ReportReviews</t>
  </si>
  <si>
    <t xml:space="preserve">Clinician — report reviews</t>
  </si>
  <si>
    <t xml:space="preserve">ClinicianSchedule</t>
  </si>
  <si>
    <t xml:space="preserve">Clinician — schedule</t>
  </si>
  <si>
    <t xml:space="preserve">ClinicianPatients</t>
  </si>
  <si>
    <t xml:space="preserve">Clinician — my patients</t>
  </si>
  <si>
    <t xml:space="preserve">Clinician — earnings</t>
  </si>
  <si>
    <t xml:space="preserve">ClinicianLabOrder</t>
  </si>
  <si>
    <t xml:space="preserve">Clinician — lab orders</t>
  </si>
  <si>
    <t xml:space="preserve">ClinicianReferral</t>
  </si>
  <si>
    <t xml:space="preserve">Clinician — referrals</t>
  </si>
  <si>
    <t xml:space="preserve">ClinicianRenewals</t>
  </si>
  <si>
    <t xml:space="preserve">Clinician — renewals</t>
  </si>
  <si>
    <t xml:space="preserve">ClinicianChronic</t>
  </si>
  <si>
    <t xml:space="preserve">Clinician — chronic care</t>
  </si>
  <si>
    <t xml:space="preserve">ClinicianAyush</t>
  </si>
  <si>
    <t xml:space="preserve">Clinician — AYUSH</t>
  </si>
  <si>
    <t xml:space="preserve">Clinician — decision support</t>
  </si>
  <si>
    <t xml:space="preserve">ClinicianToday</t>
  </si>
  <si>
    <t xml:space="preserve">Clinician — today</t>
  </si>
  <si>
    <t xml:space="preserve">ClinicianInbox</t>
  </si>
  <si>
    <t xml:space="preserve">Clinician — unified inbox</t>
  </si>
  <si>
    <t xml:space="preserve">ClinicianConsultRoom</t>
  </si>
  <si>
    <t xml:space="preserve">Clinician — consult room</t>
  </si>
  <si>
    <t xml:space="preserve">WebClinicianApply</t>
  </si>
  <si>
    <t xml:space="preserve">Doctor application — web</t>
  </si>
  <si>
    <t xml:space="preserve">ClinicianApply</t>
  </si>
  <si>
    <t xml:space="preserve">Doctor application — phone</t>
  </si>
  <si>
    <t xml:space="preserve">CampDay</t>
  </si>
  <si>
    <t xml:space="preserve">Camp day</t>
  </si>
  <si>
    <t xml:space="preserve">LabQueue</t>
  </si>
  <si>
    <t xml:space="preserve">Lab — sample queue</t>
  </si>
  <si>
    <t xml:space="preserve">SK-019, SK-120</t>
  </si>
  <si>
    <t xml:space="preserve">DispenseRegister</t>
  </si>
  <si>
    <t xml:space="preserve">Pharmacy — dispensing register</t>
  </si>
  <si>
    <t xml:space="preserve">VendorConsole</t>
  </si>
  <si>
    <t xml:space="preserve">Vendor console</t>
  </si>
  <si>
    <t xml:space="preserve">SK-017, SK-115</t>
  </si>
  <si>
    <t xml:space="preserve">VendorSettlement</t>
  </si>
  <si>
    <t xml:space="preserve">Vendor — earnings &amp; settlement</t>
  </si>
  <si>
    <t xml:space="preserve">VendorOrders</t>
  </si>
  <si>
    <t xml:space="preserve">Partner — orders</t>
  </si>
  <si>
    <t xml:space="preserve">VendorCatalogue</t>
  </si>
  <si>
    <t xml:space="preserve">Partner — catalogue &amp; stock</t>
  </si>
  <si>
    <t xml:space="preserve">LabCollection</t>
  </si>
  <si>
    <t xml:space="preserve">Lab — run sheet</t>
  </si>
  <si>
    <t xml:space="preserve">LabColdChain</t>
  </si>
  <si>
    <t xml:space="preserve">Lab — cold chain</t>
  </si>
  <si>
    <t xml:space="preserve">Lab — release results</t>
  </si>
  <si>
    <t xml:space="preserve">VendorReturns</t>
  </si>
  <si>
    <t xml:space="preserve">Partner — returns</t>
  </si>
  <si>
    <t xml:space="preserve">VendorHandover</t>
  </si>
  <si>
    <t xml:space="preserve">Partner — OTP handover</t>
  </si>
  <si>
    <t xml:space="preserve">VendorSubstitution</t>
  </si>
  <si>
    <t xml:space="preserve">Partner — substitutions</t>
  </si>
  <si>
    <t xml:space="preserve">VendorReorder</t>
  </si>
  <si>
    <t xml:space="preserve">Partner — reorder rules</t>
  </si>
  <si>
    <t xml:space="preserve">VendorCampIntake</t>
  </si>
  <si>
    <t xml:space="preserve">Partner — camp intake</t>
  </si>
  <si>
    <t xml:space="preserve">VendorHome</t>
  </si>
  <si>
    <t xml:space="preserve">Partner — home by provider type</t>
  </si>
  <si>
    <t xml:space="preserve">VendorRxReview</t>
  </si>
  <si>
    <t xml:space="preserve">Partner — pharmacist Rx review</t>
  </si>
  <si>
    <t xml:space="preserve">ScanVerify</t>
  </si>
  <si>
    <t xml:space="preserve">Staff app — verify student (scan, photo match)</t>
  </si>
  <si>
    <t xml:space="preserve">WebScanVerify</t>
  </si>
  <si>
    <t xml:space="preserve">Counter / reception — verify student</t>
  </si>
  <si>
    <t xml:space="preserve">StaffHandover</t>
  </si>
  <si>
    <t xml:space="preserve">Staff app — hand over (bag photo)</t>
  </si>
  <si>
    <t xml:space="preserve">StaffCollect</t>
  </si>
  <si>
    <t xml:space="preserve">Staff app — collect sample (tube scan)</t>
  </si>
  <si>
    <t xml:space="preserve">Staff app — camp fast mode</t>
  </si>
  <si>
    <t xml:space="preserve">PartnerApply</t>
  </si>
  <si>
    <t xml:space="preserve">Partner application — phone</t>
  </si>
  <si>
    <t xml:space="preserve">WebPartnerApply</t>
  </si>
  <si>
    <t xml:space="preserve">Partner application — web</t>
  </si>
  <si>
    <t xml:space="preserve">Partner — staff &amp; roles</t>
  </si>
  <si>
    <t xml:space="preserve">SuperAdminConsole</t>
  </si>
  <si>
    <t xml:space="preserve">Super admin console</t>
  </si>
  <si>
    <t xml:space="preserve">SK-017, SK-128</t>
  </si>
  <si>
    <t xml:space="preserve">AdminAccounts</t>
  </si>
  <si>
    <t xml:space="preserve">Super admin — accounts &amp; roles</t>
  </si>
  <si>
    <t xml:space="preserve">SK-019, SK-129</t>
  </si>
  <si>
    <t xml:space="preserve">AuditExplorer</t>
  </si>
  <si>
    <t xml:space="preserve">Super admin — audit explorer</t>
  </si>
  <si>
    <t xml:space="preserve">SK-019, SK-130</t>
  </si>
  <si>
    <t xml:space="preserve">AiGovernance</t>
  </si>
  <si>
    <t xml:space="preserve">Super admin — AI governance</t>
  </si>
  <si>
    <t xml:space="preserve">CatalogOps</t>
  </si>
  <si>
    <t xml:space="preserve">Super admin — catalogue ops</t>
  </si>
  <si>
    <t xml:space="preserve">Integrations</t>
  </si>
  <si>
    <t xml:space="preserve">Super admin — integrations &amp; index</t>
  </si>
  <si>
    <t xml:space="preserve">SK-004, SK-134</t>
  </si>
  <si>
    <t xml:space="preserve">DpdpQueue</t>
  </si>
  <si>
    <t xml:space="preserve">Super admin — erasure requests</t>
  </si>
  <si>
    <t xml:space="preserve">Claims adjudication (M22–M25)</t>
  </si>
  <si>
    <t xml:space="preserve">AdminVerification</t>
  </si>
  <si>
    <t xml:space="preserve">Super admin — clinician verification</t>
  </si>
  <si>
    <t xml:space="preserve">AdminPartners</t>
  </si>
  <si>
    <t xml:space="preserve">Super admin — partner applications</t>
  </si>
  <si>
    <t xml:space="preserve">AdminOps</t>
  </si>
  <si>
    <t xml:space="preserve">Super admin — operations &amp; SOS</t>
  </si>
  <si>
    <t xml:space="preserve">AdminSurveillance</t>
  </si>
  <si>
    <t xml:space="preserve">Super admin — surveillance map</t>
  </si>
  <si>
    <t xml:space="preserve">AdminTenants</t>
  </si>
  <si>
    <t xml:space="preserve">Super admin — organisations</t>
  </si>
  <si>
    <t xml:space="preserve">AdminRuleL</t>
  </si>
  <si>
    <t xml:space="preserve">Super admin — Rule L firewall</t>
  </si>
  <si>
    <t xml:space="preserve">AdminConsentPolicy</t>
  </si>
  <si>
    <t xml:space="preserve">Super admin — consent policy</t>
  </si>
  <si>
    <t xml:space="preserve">AdminHandover</t>
  </si>
  <si>
    <t xml:space="preserve">Super admin — casualty handover</t>
  </si>
  <si>
    <t xml:space="preserve">AdminSentinel</t>
  </si>
  <si>
    <t xml:space="preserve">Super admin — code sentinel</t>
  </si>
  <si>
    <t xml:space="preserve">AdminTokens</t>
  </si>
  <si>
    <t xml:space="preserve">Super admin — token sync</t>
  </si>
  <si>
    <t xml:space="preserve">AdminBreakGlassLog</t>
  </si>
  <si>
    <t xml:space="preserve">Super admin — break-glass log</t>
  </si>
  <si>
    <t xml:space="preserve">AdminPlansPricing</t>
  </si>
  <si>
    <t xml:space="preserve">Super admin — plans &amp; pricing</t>
  </si>
  <si>
    <t xml:space="preserve">SK-005, SK-133</t>
  </si>
  <si>
    <t xml:space="preserve">AdminFlags</t>
  </si>
  <si>
    <t xml:space="preserve">Super admin — feature flags per campus</t>
  </si>
  <si>
    <t xml:space="preserve">AdminTemplates</t>
  </si>
  <si>
    <t xml:space="preserve">Super admin — WhatsApp &amp; message templates</t>
  </si>
  <si>
    <t xml:space="preserve">Super admin — billing ledger</t>
  </si>
  <si>
    <t xml:space="preserve">AdminKnowledge</t>
  </si>
  <si>
    <t xml:space="preserve">Super admin — Ayush knowledge base</t>
  </si>
  <si>
    <t xml:space="preserve">Super admin — intake &amp; OCR queue</t>
  </si>
  <si>
    <t xml:space="preserve">AdminCheckins</t>
  </si>
  <si>
    <t xml:space="preserve">Super admin — check-in audit</t>
  </si>
  <si>
    <t xml:space="preserve">Super admin — case detail (“This wasn’t me”)</t>
  </si>
  <si>
    <t xml:space="preserve">AdminPriceFix</t>
  </si>
  <si>
    <t xml:space="preserve">Fix the Premium price (SK-006)</t>
  </si>
  <si>
    <t xml:space="preserve">AdminApiKeys</t>
  </si>
  <si>
    <t xml:space="preserve">API access &amp; keys (SK-005)</t>
  </si>
  <si>
    <t xml:space="preserve">AdminSignIn</t>
  </si>
  <si>
    <t xml:space="preserve">Staff &amp; admin sign-in (SK-004)</t>
  </si>
  <si>
    <t xml:space="preserve">SK-003, SK-128</t>
  </si>
  <si>
    <t xml:space="preserve">Flow map — whole application</t>
  </si>
  <si>
    <t xml:space="preserve">Sheets</t>
  </si>
  <si>
    <t xml:space="preserve">System — bottom sheets</t>
  </si>
  <si>
    <t xml:space="preserve">NavSheets</t>
  </si>
  <si>
    <t xml:space="preserve">System — navigation &amp; sheets</t>
  </si>
  <si>
    <t xml:space="preserve">SK-014, SK-017</t>
  </si>
  <si>
    <t xml:space="preserve">System — full-screen states</t>
  </si>
  <si>
    <t xml:space="preserve">AyushWidget</t>
  </si>
  <si>
    <t xml:space="preserve">Ayush — chat widget (web, shared)</t>
  </si>
  <si>
    <t xml:space="preserve">AyushSheet</t>
  </si>
  <si>
    <t xml:space="preserve">Ayush — phone bottom sheet (Discover, Your Care)</t>
  </si>
  <si>
    <t xml:space="preserve">MotionSystem</t>
  </si>
  <si>
    <t xml:space="preserve">Motion &amp; interaction system</t>
  </si>
  <si>
    <t xml:space="preserve">SK-007, SK-018</t>
  </si>
  <si>
    <t xml:space="preserve">IconSystem</t>
  </si>
  <si>
    <t xml:space="preserve">Design system — icons (3D + flat, animated)</t>
  </si>
  <si>
    <t xml:space="preserve">IllustrationLibrary</t>
  </si>
  <si>
    <t xml:space="preserve">Design system — illustration library</t>
  </si>
  <si>
    <t xml:space="preserve">Design system — result moments (success, failure, pending)</t>
  </si>
  <si>
    <t xml:space="preserve">ConfirmDialogs</t>
  </si>
  <si>
    <t xml:space="preserve">Design system — confirm dialogs (log out, cancel, revoke)</t>
  </si>
  <si>
    <t xml:space="preserve">NotificationTemplates</t>
  </si>
  <si>
    <t xml:space="preserve">Notification templates (copy + rules)</t>
  </si>
  <si>
    <t xml:space="preserve">System — feedback (toasts, banners, validation)</t>
  </si>
  <si>
    <t xml:space="preserve">SK-010, SK-012, SK-013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</si>
</sst>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1B4B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1B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12</v>
      </c>
    </row>
    <row r="17" customFormat="false" ht="15" hidden="false" customHeight="false" outlineLevel="0" collapsed="false">
      <c r="A17" s="4"/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</row>
    <row r="18" customFormat="false" ht="15" hidden="false" customHeight="false" outlineLevel="0" collapsed="false">
      <c r="A18" s="0" t="s">
        <v>18</v>
      </c>
      <c r="B18" s="0" t="n">
        <f aca="false">COUNTIF(Tickets!$I$2:$I$148,A18)</f>
        <v>90</v>
      </c>
      <c r="C18" s="0" t="n">
        <f aca="false">SUMIF(Tickets!$I$2:$I$148,A18,Tickets!$K$2:$K$148)</f>
        <v>536</v>
      </c>
      <c r="D18" s="0" t="n">
        <f aca="false">COUNTIFS(Tickets!$I$2:$I$148,A18,Tickets!$R$2:$R$148,"Done")</f>
        <v>0</v>
      </c>
      <c r="E18" s="0" t="n">
        <f aca="false">B18-D18</f>
        <v>90</v>
      </c>
      <c r="F18" s="5" t="n">
        <f aca="false">IF(B18=0,0,D18/B18)</f>
        <v>0</v>
      </c>
    </row>
    <row r="19" customFormat="false" ht="15" hidden="false" customHeight="false" outlineLevel="0" collapsed="false">
      <c r="A19" s="0" t="s">
        <v>19</v>
      </c>
      <c r="B19" s="0" t="n">
        <f aca="false">COUNTIF(Tickets!$I$2:$I$148,A19)</f>
        <v>46</v>
      </c>
      <c r="C19" s="0" t="n">
        <f aca="false">SUMIF(Tickets!$I$2:$I$148,A19,Tickets!$K$2:$K$148)</f>
        <v>199</v>
      </c>
      <c r="D19" s="0" t="n">
        <f aca="false">COUNTIFS(Tickets!$I$2:$I$148,A19,Tickets!$R$2:$R$148,"Done")</f>
        <v>0</v>
      </c>
      <c r="E19" s="0" t="n">
        <f aca="false">B19-D19</f>
        <v>46</v>
      </c>
      <c r="F19" s="5" t="n">
        <f aca="false">IF(B19=0,0,D19/B19)</f>
        <v>0</v>
      </c>
    </row>
    <row r="20" customFormat="false" ht="15" hidden="false" customHeight="false" outlineLevel="0" collapsed="false">
      <c r="A20" s="0" t="s">
        <v>20</v>
      </c>
      <c r="B20" s="0" t="n">
        <f aca="false">COUNTIF(Tickets!$I$2:$I$148,A20)</f>
        <v>11</v>
      </c>
      <c r="C20" s="0" t="n">
        <f aca="false">SUMIF(Tickets!$I$2:$I$148,A20,Tickets!$K$2:$K$148)</f>
        <v>50</v>
      </c>
      <c r="D20" s="0" t="n">
        <f aca="false">COUNTIFS(Tickets!$I$2:$I$148,A20,Tickets!$R$2:$R$148,"Done")</f>
        <v>0</v>
      </c>
      <c r="E20" s="0" t="n">
        <f aca="false">B20-D20</f>
        <v>11</v>
      </c>
      <c r="F20" s="5" t="n">
        <f aca="false">IF(B20=0,0,D20/B20)</f>
        <v>0</v>
      </c>
    </row>
    <row r="21" customFormat="false" ht="15" hidden="false" customHeight="false" outlineLevel="0" collapsed="false">
      <c r="A21" s="6" t="s">
        <v>21</v>
      </c>
      <c r="B21" s="6" t="n">
        <f aca="false">SUM(B18:B20)</f>
        <v>147</v>
      </c>
      <c r="C21" s="6" t="n">
        <f aca="false">SUM(C18:C20)</f>
        <v>785</v>
      </c>
      <c r="D21" s="6" t="n">
        <f aca="false">SUM(D18:D20)</f>
        <v>0</v>
      </c>
      <c r="E21" s="6" t="n">
        <f aca="false">SUM(E18:E20)</f>
        <v>147</v>
      </c>
      <c r="F21" s="5" t="n">
        <f aca="false">IF(B21=0,0,D21/B21)</f>
        <v>0</v>
      </c>
    </row>
    <row r="23" customFormat="false" ht="15" hidden="false" customHeight="false" outlineLevel="0" collapsed="false">
      <c r="A23" s="7" t="s">
        <v>22</v>
      </c>
    </row>
    <row r="24" customFormat="false" ht="15" hidden="false" customHeight="false" outlineLevel="0" collapsed="false">
      <c r="A24" s="8" t="s">
        <v>23</v>
      </c>
    </row>
    <row r="25" customFormat="false" ht="15" hidden="false" customHeight="false" outlineLevel="0" collapsed="false">
      <c r="A25" s="8" t="s">
        <v>24</v>
      </c>
    </row>
    <row r="26" customFormat="false" ht="15" hidden="false" customHeight="false" outlineLevel="0" collapsed="false">
      <c r="A26" s="8" t="s">
        <v>25</v>
      </c>
    </row>
    <row r="27" customFormat="false" ht="15" hidden="false" customHeight="false" outlineLevel="0" collapsed="false">
      <c r="A27" s="8" t="s">
        <v>26</v>
      </c>
    </row>
    <row r="28" customFormat="false" ht="15" hidden="false" customHeight="false" outlineLevel="0" collapsed="false">
      <c r="A28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3" min="12" style="0" width="60"/>
    <col collapsed="false" customWidth="true" hidden="false" outlineLevel="0" max="14" min="14" style="0" width="14"/>
    <col collapsed="false" customWidth="true" hidden="false" outlineLevel="0" max="15" min="15" style="0" width="34"/>
    <col collapsed="false" customWidth="true" hidden="false" outlineLevel="0" max="16" min="16" style="0" width="26"/>
    <col collapsed="false" customWidth="true" hidden="false" outlineLevel="0" max="17" min="17" style="0" width="40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10"/>
    <col collapsed="false" customWidth="true" hidden="false" outlineLevel="0" max="21" min="21" style="0" width="14"/>
  </cols>
  <sheetData>
    <row r="1" customFormat="false" ht="39.55" hidden="false" customHeight="fals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10" t="s">
        <v>45</v>
      </c>
      <c r="S1" s="10" t="s">
        <v>46</v>
      </c>
      <c r="T1" s="10" t="s">
        <v>47</v>
      </c>
      <c r="U1" s="9" t="s">
        <v>48</v>
      </c>
    </row>
    <row r="2" customFormat="false" ht="35.05" hidden="false" customHeight="false" outlineLevel="0" collapsed="false">
      <c r="A2" s="11" t="s">
        <v>49</v>
      </c>
      <c r="B2" s="11" t="s">
        <v>50</v>
      </c>
      <c r="C2" s="12" t="s">
        <v>51</v>
      </c>
      <c r="D2" s="11" t="s">
        <v>52</v>
      </c>
      <c r="E2" s="11" t="s">
        <v>53</v>
      </c>
      <c r="F2" s="11" t="s">
        <v>54</v>
      </c>
      <c r="G2" s="11" t="s">
        <v>54</v>
      </c>
      <c r="H2" s="11" t="n">
        <v>1</v>
      </c>
      <c r="I2" s="11" t="s">
        <v>18</v>
      </c>
      <c r="J2" s="11" t="s">
        <v>55</v>
      </c>
      <c r="K2" s="11" t="n">
        <v>2</v>
      </c>
      <c r="L2" s="11" t="s">
        <v>56</v>
      </c>
      <c r="M2" s="11" t="s">
        <v>57</v>
      </c>
      <c r="N2" s="11"/>
      <c r="O2" s="11"/>
      <c r="P2" s="11" t="s">
        <v>58</v>
      </c>
      <c r="Q2" s="11" t="s">
        <v>59</v>
      </c>
      <c r="R2" s="11" t="s">
        <v>60</v>
      </c>
      <c r="S2" s="11"/>
      <c r="T2" s="11"/>
      <c r="U2" s="11" t="s">
        <v>61</v>
      </c>
    </row>
    <row r="3" customFormat="false" ht="35.05" hidden="false" customHeight="false" outlineLevel="0" collapsed="false">
      <c r="A3" s="11" t="s">
        <v>62</v>
      </c>
      <c r="B3" s="11" t="s">
        <v>50</v>
      </c>
      <c r="C3" s="12" t="s">
        <v>63</v>
      </c>
      <c r="D3" s="11" t="s">
        <v>52</v>
      </c>
      <c r="E3" s="11" t="s">
        <v>64</v>
      </c>
      <c r="F3" s="11" t="s">
        <v>65</v>
      </c>
      <c r="G3" s="11" t="s">
        <v>66</v>
      </c>
      <c r="H3" s="11" t="n">
        <v>1</v>
      </c>
      <c r="I3" s="11" t="s">
        <v>18</v>
      </c>
      <c r="J3" s="11" t="s">
        <v>55</v>
      </c>
      <c r="K3" s="11" t="n">
        <v>3</v>
      </c>
      <c r="L3" s="11" t="s">
        <v>67</v>
      </c>
      <c r="M3" s="11" t="s">
        <v>68</v>
      </c>
      <c r="N3" s="11"/>
      <c r="O3" s="11"/>
      <c r="P3" s="11" t="s">
        <v>69</v>
      </c>
      <c r="Q3" s="11" t="s">
        <v>70</v>
      </c>
      <c r="R3" s="11" t="s">
        <v>60</v>
      </c>
      <c r="S3" s="11"/>
      <c r="T3" s="11"/>
      <c r="U3" s="11" t="s">
        <v>71</v>
      </c>
    </row>
    <row r="4" customFormat="false" ht="46.25" hidden="false" customHeight="false" outlineLevel="0" collapsed="false">
      <c r="A4" s="11" t="s">
        <v>72</v>
      </c>
      <c r="B4" s="11" t="s">
        <v>50</v>
      </c>
      <c r="C4" s="12" t="s">
        <v>73</v>
      </c>
      <c r="D4" s="11" t="s">
        <v>52</v>
      </c>
      <c r="E4" s="11" t="s">
        <v>53</v>
      </c>
      <c r="F4" s="11" t="s">
        <v>74</v>
      </c>
      <c r="G4" s="11" t="s">
        <v>75</v>
      </c>
      <c r="H4" s="11" t="n">
        <v>1</v>
      </c>
      <c r="I4" s="11" t="s">
        <v>18</v>
      </c>
      <c r="J4" s="11" t="s">
        <v>55</v>
      </c>
      <c r="K4" s="11" t="n">
        <v>3</v>
      </c>
      <c r="L4" s="11" t="s">
        <v>76</v>
      </c>
      <c r="M4" s="11" t="s">
        <v>77</v>
      </c>
      <c r="N4" s="11"/>
      <c r="O4" s="11"/>
      <c r="P4" s="11" t="s">
        <v>78</v>
      </c>
      <c r="Q4" s="11"/>
      <c r="R4" s="11" t="s">
        <v>60</v>
      </c>
      <c r="S4" s="11"/>
      <c r="T4" s="11"/>
      <c r="U4" s="11" t="s">
        <v>79</v>
      </c>
    </row>
    <row r="5" customFormat="false" ht="35.05" hidden="false" customHeight="false" outlineLevel="0" collapsed="false">
      <c r="A5" s="11" t="s">
        <v>80</v>
      </c>
      <c r="B5" s="11" t="s">
        <v>50</v>
      </c>
      <c r="C5" s="12" t="s">
        <v>81</v>
      </c>
      <c r="D5" s="11" t="s">
        <v>52</v>
      </c>
      <c r="E5" s="11" t="s">
        <v>53</v>
      </c>
      <c r="F5" s="11" t="s">
        <v>82</v>
      </c>
      <c r="G5" s="11" t="s">
        <v>83</v>
      </c>
      <c r="H5" s="11" t="n">
        <v>1</v>
      </c>
      <c r="I5" s="11" t="s">
        <v>18</v>
      </c>
      <c r="J5" s="11" t="s">
        <v>55</v>
      </c>
      <c r="K5" s="11" t="n">
        <v>3</v>
      </c>
      <c r="L5" s="11" t="s">
        <v>84</v>
      </c>
      <c r="M5" s="11" t="s">
        <v>85</v>
      </c>
      <c r="N5" s="11" t="s">
        <v>86</v>
      </c>
      <c r="O5" s="11" t="s">
        <v>87</v>
      </c>
      <c r="P5" s="11" t="s">
        <v>88</v>
      </c>
      <c r="Q5" s="11"/>
      <c r="R5" s="11" t="s">
        <v>60</v>
      </c>
      <c r="S5" s="11"/>
      <c r="T5" s="11"/>
      <c r="U5" s="11" t="s">
        <v>89</v>
      </c>
    </row>
    <row r="6" customFormat="false" ht="46.25" hidden="false" customHeight="false" outlineLevel="0" collapsed="false">
      <c r="A6" s="11" t="s">
        <v>90</v>
      </c>
      <c r="B6" s="11" t="s">
        <v>50</v>
      </c>
      <c r="C6" s="12" t="s">
        <v>91</v>
      </c>
      <c r="D6" s="11" t="s">
        <v>52</v>
      </c>
      <c r="E6" s="11" t="s">
        <v>92</v>
      </c>
      <c r="F6" s="11" t="s">
        <v>93</v>
      </c>
      <c r="G6" s="11" t="s">
        <v>94</v>
      </c>
      <c r="H6" s="11" t="n">
        <v>1</v>
      </c>
      <c r="I6" s="11" t="s">
        <v>18</v>
      </c>
      <c r="J6" s="11" t="s">
        <v>55</v>
      </c>
      <c r="K6" s="11" t="n">
        <v>3</v>
      </c>
      <c r="L6" s="11" t="s">
        <v>95</v>
      </c>
      <c r="M6" s="11" t="s">
        <v>96</v>
      </c>
      <c r="N6" s="11"/>
      <c r="O6" s="11"/>
      <c r="P6" s="11" t="s">
        <v>97</v>
      </c>
      <c r="Q6" s="11" t="s">
        <v>98</v>
      </c>
      <c r="R6" s="11" t="s">
        <v>60</v>
      </c>
      <c r="S6" s="11"/>
      <c r="T6" s="11"/>
      <c r="U6" s="11" t="s">
        <v>99</v>
      </c>
    </row>
    <row r="7" customFormat="false" ht="35.05" hidden="false" customHeight="false" outlineLevel="0" collapsed="false">
      <c r="A7" s="11" t="s">
        <v>100</v>
      </c>
      <c r="B7" s="11" t="s">
        <v>50</v>
      </c>
      <c r="C7" s="12" t="s">
        <v>101</v>
      </c>
      <c r="D7" s="11" t="s">
        <v>52</v>
      </c>
      <c r="E7" s="11" t="s">
        <v>102</v>
      </c>
      <c r="F7" s="11" t="s">
        <v>54</v>
      </c>
      <c r="G7" s="11" t="s">
        <v>54</v>
      </c>
      <c r="H7" s="11" t="n">
        <v>2</v>
      </c>
      <c r="I7" s="11" t="s">
        <v>18</v>
      </c>
      <c r="J7" s="11" t="s">
        <v>55</v>
      </c>
      <c r="K7" s="11" t="n">
        <v>2</v>
      </c>
      <c r="L7" s="11" t="s">
        <v>103</v>
      </c>
      <c r="M7" s="11" t="s">
        <v>104</v>
      </c>
      <c r="N7" s="11"/>
      <c r="O7" s="11"/>
      <c r="P7" s="11"/>
      <c r="Q7" s="11"/>
      <c r="R7" s="11" t="s">
        <v>60</v>
      </c>
      <c r="S7" s="11"/>
      <c r="T7" s="11"/>
      <c r="U7" s="11" t="s">
        <v>105</v>
      </c>
    </row>
    <row r="8" customFormat="false" ht="46.25" hidden="false" customHeight="false" outlineLevel="0" collapsed="false">
      <c r="A8" s="11" t="s">
        <v>106</v>
      </c>
      <c r="B8" s="11" t="s">
        <v>107</v>
      </c>
      <c r="C8" s="12" t="s">
        <v>108</v>
      </c>
      <c r="D8" s="11" t="s">
        <v>52</v>
      </c>
      <c r="E8" s="11" t="s">
        <v>102</v>
      </c>
      <c r="F8" s="11" t="s">
        <v>109</v>
      </c>
      <c r="G8" s="11" t="s">
        <v>110</v>
      </c>
      <c r="H8" s="11" t="n">
        <v>3</v>
      </c>
      <c r="I8" s="11" t="s">
        <v>18</v>
      </c>
      <c r="J8" s="11" t="s">
        <v>55</v>
      </c>
      <c r="K8" s="11" t="n">
        <v>5</v>
      </c>
      <c r="L8" s="11" t="s">
        <v>111</v>
      </c>
      <c r="M8" s="11" t="s">
        <v>112</v>
      </c>
      <c r="N8" s="11"/>
      <c r="O8" s="11"/>
      <c r="P8" s="11"/>
      <c r="Q8" s="11" t="s">
        <v>113</v>
      </c>
      <c r="R8" s="11" t="s">
        <v>60</v>
      </c>
      <c r="S8" s="11"/>
      <c r="T8" s="11"/>
      <c r="U8" s="11"/>
    </row>
    <row r="9" customFormat="false" ht="35.05" hidden="false" customHeight="false" outlineLevel="0" collapsed="false">
      <c r="A9" s="11" t="s">
        <v>114</v>
      </c>
      <c r="B9" s="11" t="s">
        <v>107</v>
      </c>
      <c r="C9" s="12" t="s">
        <v>115</v>
      </c>
      <c r="D9" s="11" t="s">
        <v>52</v>
      </c>
      <c r="E9" s="11" t="s">
        <v>116</v>
      </c>
      <c r="F9" s="11" t="s">
        <v>54</v>
      </c>
      <c r="G9" s="11" t="s">
        <v>54</v>
      </c>
      <c r="H9" s="11" t="n">
        <v>3</v>
      </c>
      <c r="I9" s="11" t="s">
        <v>18</v>
      </c>
      <c r="J9" s="11" t="s">
        <v>55</v>
      </c>
      <c r="K9" s="11" t="n">
        <v>5</v>
      </c>
      <c r="L9" s="11" t="s">
        <v>117</v>
      </c>
      <c r="M9" s="11" t="s">
        <v>118</v>
      </c>
      <c r="N9" s="11"/>
      <c r="O9" s="11"/>
      <c r="P9" s="11"/>
      <c r="Q9" s="11"/>
      <c r="R9" s="11" t="s">
        <v>60</v>
      </c>
      <c r="S9" s="11"/>
      <c r="T9" s="11"/>
      <c r="U9" s="11"/>
    </row>
    <row r="10" customFormat="false" ht="35.05" hidden="false" customHeight="false" outlineLevel="0" collapsed="false">
      <c r="A10" s="11" t="s">
        <v>119</v>
      </c>
      <c r="B10" s="11" t="s">
        <v>107</v>
      </c>
      <c r="C10" s="12" t="s">
        <v>120</v>
      </c>
      <c r="D10" s="11" t="s">
        <v>52</v>
      </c>
      <c r="E10" s="11" t="s">
        <v>102</v>
      </c>
      <c r="F10" s="11" t="s">
        <v>54</v>
      </c>
      <c r="G10" s="11" t="s">
        <v>54</v>
      </c>
      <c r="H10" s="11" t="n">
        <v>3</v>
      </c>
      <c r="I10" s="11" t="s">
        <v>19</v>
      </c>
      <c r="J10" s="11" t="s">
        <v>121</v>
      </c>
      <c r="K10" s="11" t="n">
        <v>2</v>
      </c>
      <c r="L10" s="11" t="s">
        <v>122</v>
      </c>
      <c r="M10" s="11" t="s">
        <v>123</v>
      </c>
      <c r="N10" s="11" t="s">
        <v>106</v>
      </c>
      <c r="O10" s="11" t="s">
        <v>108</v>
      </c>
      <c r="P10" s="11"/>
      <c r="Q10" s="11"/>
      <c r="R10" s="11" t="s">
        <v>60</v>
      </c>
      <c r="S10" s="11"/>
      <c r="T10" s="11"/>
      <c r="U10" s="11"/>
    </row>
    <row r="11" customFormat="false" ht="46.25" hidden="false" customHeight="false" outlineLevel="0" collapsed="false">
      <c r="A11" s="11" t="s">
        <v>124</v>
      </c>
      <c r="B11" s="11" t="s">
        <v>107</v>
      </c>
      <c r="C11" s="12" t="s">
        <v>125</v>
      </c>
      <c r="D11" s="11" t="s">
        <v>126</v>
      </c>
      <c r="E11" s="11" t="s">
        <v>102</v>
      </c>
      <c r="F11" s="11" t="s">
        <v>127</v>
      </c>
      <c r="G11" s="11" t="s">
        <v>128</v>
      </c>
      <c r="H11" s="11" t="n">
        <v>3</v>
      </c>
      <c r="I11" s="11" t="s">
        <v>18</v>
      </c>
      <c r="J11" s="11" t="s">
        <v>55</v>
      </c>
      <c r="K11" s="11" t="n">
        <v>5</v>
      </c>
      <c r="L11" s="11" t="s">
        <v>129</v>
      </c>
      <c r="M11" s="11" t="s">
        <v>130</v>
      </c>
      <c r="N11" s="11" t="s">
        <v>114</v>
      </c>
      <c r="O11" s="11" t="s">
        <v>115</v>
      </c>
      <c r="P11" s="11"/>
      <c r="Q11" s="11"/>
      <c r="R11" s="11" t="s">
        <v>60</v>
      </c>
      <c r="S11" s="11"/>
      <c r="T11" s="11"/>
      <c r="U11" s="11"/>
    </row>
    <row r="12" customFormat="false" ht="35.05" hidden="false" customHeight="false" outlineLevel="0" collapsed="false">
      <c r="A12" s="11" t="s">
        <v>131</v>
      </c>
      <c r="B12" s="11" t="s">
        <v>107</v>
      </c>
      <c r="C12" s="12" t="s">
        <v>132</v>
      </c>
      <c r="D12" s="11" t="s">
        <v>126</v>
      </c>
      <c r="E12" s="11" t="s">
        <v>102</v>
      </c>
      <c r="F12" s="11" t="s">
        <v>133</v>
      </c>
      <c r="G12" s="11" t="s">
        <v>134</v>
      </c>
      <c r="H12" s="11" t="n">
        <v>3</v>
      </c>
      <c r="I12" s="11" t="s">
        <v>18</v>
      </c>
      <c r="J12" s="11" t="s">
        <v>55</v>
      </c>
      <c r="K12" s="11" t="n">
        <v>3</v>
      </c>
      <c r="L12" s="11" t="s">
        <v>135</v>
      </c>
      <c r="M12" s="11" t="s">
        <v>136</v>
      </c>
      <c r="N12" s="11" t="s">
        <v>114</v>
      </c>
      <c r="O12" s="11" t="s">
        <v>115</v>
      </c>
      <c r="P12" s="11"/>
      <c r="Q12" s="11"/>
      <c r="R12" s="11" t="s">
        <v>60</v>
      </c>
      <c r="S12" s="11"/>
      <c r="T12" s="11"/>
      <c r="U12" s="11"/>
    </row>
    <row r="13" customFormat="false" ht="35.05" hidden="false" customHeight="false" outlineLevel="0" collapsed="false">
      <c r="A13" s="11" t="s">
        <v>137</v>
      </c>
      <c r="B13" s="11" t="s">
        <v>107</v>
      </c>
      <c r="C13" s="12" t="s">
        <v>138</v>
      </c>
      <c r="D13" s="11" t="s">
        <v>126</v>
      </c>
      <c r="E13" s="11" t="s">
        <v>102</v>
      </c>
      <c r="F13" s="11" t="s">
        <v>139</v>
      </c>
      <c r="G13" s="11" t="s">
        <v>140</v>
      </c>
      <c r="H13" s="11" t="n">
        <v>3</v>
      </c>
      <c r="I13" s="11" t="s">
        <v>18</v>
      </c>
      <c r="J13" s="11" t="s">
        <v>55</v>
      </c>
      <c r="K13" s="11" t="n">
        <v>5</v>
      </c>
      <c r="L13" s="11" t="s">
        <v>141</v>
      </c>
      <c r="M13" s="11" t="s">
        <v>142</v>
      </c>
      <c r="N13" s="11" t="s">
        <v>114</v>
      </c>
      <c r="O13" s="11" t="s">
        <v>115</v>
      </c>
      <c r="P13" s="11"/>
      <c r="Q13" s="11"/>
      <c r="R13" s="11" t="s">
        <v>60</v>
      </c>
      <c r="S13" s="11"/>
      <c r="T13" s="11"/>
      <c r="U13" s="11"/>
    </row>
    <row r="14" customFormat="false" ht="23.85" hidden="false" customHeight="false" outlineLevel="0" collapsed="false">
      <c r="A14" s="11" t="s">
        <v>143</v>
      </c>
      <c r="B14" s="11" t="s">
        <v>107</v>
      </c>
      <c r="C14" s="12" t="s">
        <v>144</v>
      </c>
      <c r="D14" s="11" t="s">
        <v>126</v>
      </c>
      <c r="E14" s="11" t="s">
        <v>102</v>
      </c>
      <c r="F14" s="11" t="s">
        <v>145</v>
      </c>
      <c r="G14" s="11" t="s">
        <v>110</v>
      </c>
      <c r="H14" s="11" t="n">
        <v>3</v>
      </c>
      <c r="I14" s="11" t="s">
        <v>18</v>
      </c>
      <c r="J14" s="11" t="s">
        <v>55</v>
      </c>
      <c r="K14" s="11" t="n">
        <v>3</v>
      </c>
      <c r="L14" s="11" t="s">
        <v>146</v>
      </c>
      <c r="M14" s="11" t="s">
        <v>147</v>
      </c>
      <c r="N14" s="11" t="s">
        <v>124</v>
      </c>
      <c r="O14" s="11" t="s">
        <v>125</v>
      </c>
      <c r="P14" s="11"/>
      <c r="Q14" s="11"/>
      <c r="R14" s="11" t="s">
        <v>60</v>
      </c>
      <c r="S14" s="11"/>
      <c r="T14" s="11"/>
      <c r="U14" s="11"/>
    </row>
    <row r="15" customFormat="false" ht="35.05" hidden="false" customHeight="false" outlineLevel="0" collapsed="false">
      <c r="A15" s="11" t="s">
        <v>148</v>
      </c>
      <c r="B15" s="11" t="s">
        <v>107</v>
      </c>
      <c r="C15" s="12" t="s">
        <v>149</v>
      </c>
      <c r="D15" s="11" t="s">
        <v>126</v>
      </c>
      <c r="E15" s="11" t="s">
        <v>102</v>
      </c>
      <c r="F15" s="11" t="s">
        <v>150</v>
      </c>
      <c r="G15" s="11" t="s">
        <v>110</v>
      </c>
      <c r="H15" s="11" t="n">
        <v>3</v>
      </c>
      <c r="I15" s="11" t="s">
        <v>18</v>
      </c>
      <c r="J15" s="11" t="s">
        <v>55</v>
      </c>
      <c r="K15" s="11" t="n">
        <v>5</v>
      </c>
      <c r="L15" s="11" t="s">
        <v>151</v>
      </c>
      <c r="M15" s="11" t="s">
        <v>152</v>
      </c>
      <c r="N15" s="11" t="s">
        <v>124</v>
      </c>
      <c r="O15" s="11" t="s">
        <v>125</v>
      </c>
      <c r="P15" s="11"/>
      <c r="Q15" s="11"/>
      <c r="R15" s="11" t="s">
        <v>60</v>
      </c>
      <c r="S15" s="11"/>
      <c r="T15" s="11"/>
      <c r="U15" s="11"/>
    </row>
    <row r="16" customFormat="false" ht="23.85" hidden="false" customHeight="false" outlineLevel="0" collapsed="false">
      <c r="A16" s="11" t="s">
        <v>153</v>
      </c>
      <c r="B16" s="11" t="s">
        <v>107</v>
      </c>
      <c r="C16" s="12" t="s">
        <v>154</v>
      </c>
      <c r="D16" s="11" t="s">
        <v>126</v>
      </c>
      <c r="E16" s="11" t="s">
        <v>102</v>
      </c>
      <c r="F16" s="11" t="s">
        <v>155</v>
      </c>
      <c r="G16" s="11" t="s">
        <v>110</v>
      </c>
      <c r="H16" s="11" t="n">
        <v>3</v>
      </c>
      <c r="I16" s="11" t="s">
        <v>18</v>
      </c>
      <c r="J16" s="11" t="s">
        <v>55</v>
      </c>
      <c r="K16" s="11" t="n">
        <v>5</v>
      </c>
      <c r="L16" s="11" t="s">
        <v>156</v>
      </c>
      <c r="M16" s="11" t="s">
        <v>157</v>
      </c>
      <c r="N16" s="11" t="s">
        <v>137</v>
      </c>
      <c r="O16" s="11" t="s">
        <v>138</v>
      </c>
      <c r="P16" s="11"/>
      <c r="Q16" s="11"/>
      <c r="R16" s="11" t="s">
        <v>60</v>
      </c>
      <c r="S16" s="11"/>
      <c r="T16" s="11"/>
      <c r="U16" s="11"/>
    </row>
    <row r="17" customFormat="false" ht="35.05" hidden="false" customHeight="false" outlineLevel="0" collapsed="false">
      <c r="A17" s="11" t="s">
        <v>158</v>
      </c>
      <c r="B17" s="11" t="s">
        <v>107</v>
      </c>
      <c r="C17" s="12" t="s">
        <v>159</v>
      </c>
      <c r="D17" s="11" t="s">
        <v>126</v>
      </c>
      <c r="E17" s="11" t="s">
        <v>102</v>
      </c>
      <c r="F17" s="11" t="s">
        <v>160</v>
      </c>
      <c r="G17" s="11" t="s">
        <v>110</v>
      </c>
      <c r="H17" s="11" t="n">
        <v>3</v>
      </c>
      <c r="I17" s="11" t="s">
        <v>19</v>
      </c>
      <c r="J17" s="11" t="s">
        <v>121</v>
      </c>
      <c r="K17" s="11" t="n">
        <v>3</v>
      </c>
      <c r="L17" s="11" t="s">
        <v>161</v>
      </c>
      <c r="M17" s="11" t="s">
        <v>162</v>
      </c>
      <c r="N17" s="11" t="s">
        <v>153</v>
      </c>
      <c r="O17" s="11" t="s">
        <v>154</v>
      </c>
      <c r="P17" s="11"/>
      <c r="Q17" s="11" t="s">
        <v>163</v>
      </c>
      <c r="R17" s="11" t="s">
        <v>60</v>
      </c>
      <c r="S17" s="11"/>
      <c r="T17" s="11"/>
      <c r="U17" s="11" t="s">
        <v>164</v>
      </c>
    </row>
    <row r="18" customFormat="false" ht="79.85" hidden="false" customHeight="false" outlineLevel="0" collapsed="false">
      <c r="A18" s="11" t="s">
        <v>165</v>
      </c>
      <c r="B18" s="11" t="s">
        <v>107</v>
      </c>
      <c r="C18" s="12" t="s">
        <v>166</v>
      </c>
      <c r="D18" s="11" t="s">
        <v>126</v>
      </c>
      <c r="E18" s="11" t="s">
        <v>102</v>
      </c>
      <c r="F18" s="11" t="s">
        <v>167</v>
      </c>
      <c r="G18" s="11" t="s">
        <v>168</v>
      </c>
      <c r="H18" s="11" t="n">
        <v>3</v>
      </c>
      <c r="I18" s="11" t="s">
        <v>18</v>
      </c>
      <c r="J18" s="11" t="s">
        <v>55</v>
      </c>
      <c r="K18" s="11" t="n">
        <v>8</v>
      </c>
      <c r="L18" s="11" t="s">
        <v>169</v>
      </c>
      <c r="M18" s="11" t="s">
        <v>170</v>
      </c>
      <c r="N18" s="11" t="s">
        <v>124</v>
      </c>
      <c r="O18" s="11" t="s">
        <v>125</v>
      </c>
      <c r="P18" s="11"/>
      <c r="Q18" s="11"/>
      <c r="R18" s="11" t="s">
        <v>60</v>
      </c>
      <c r="S18" s="11"/>
      <c r="T18" s="11"/>
      <c r="U18" s="11" t="s">
        <v>171</v>
      </c>
    </row>
    <row r="19" customFormat="false" ht="23.85" hidden="false" customHeight="false" outlineLevel="0" collapsed="false">
      <c r="A19" s="11" t="s">
        <v>172</v>
      </c>
      <c r="B19" s="11" t="s">
        <v>107</v>
      </c>
      <c r="C19" s="12" t="s">
        <v>173</v>
      </c>
      <c r="D19" s="11" t="s">
        <v>126</v>
      </c>
      <c r="E19" s="11" t="s">
        <v>102</v>
      </c>
      <c r="F19" s="11" t="s">
        <v>174</v>
      </c>
      <c r="G19" s="11" t="s">
        <v>110</v>
      </c>
      <c r="H19" s="11" t="n">
        <v>3</v>
      </c>
      <c r="I19" s="11" t="s">
        <v>19</v>
      </c>
      <c r="J19" s="11" t="s">
        <v>121</v>
      </c>
      <c r="K19" s="11" t="n">
        <v>5</v>
      </c>
      <c r="L19" s="11" t="s">
        <v>175</v>
      </c>
      <c r="M19" s="11" t="s">
        <v>176</v>
      </c>
      <c r="N19" s="11" t="s">
        <v>106</v>
      </c>
      <c r="O19" s="11" t="s">
        <v>108</v>
      </c>
      <c r="P19" s="11"/>
      <c r="Q19" s="11"/>
      <c r="R19" s="11" t="s">
        <v>60</v>
      </c>
      <c r="S19" s="11"/>
      <c r="T19" s="11"/>
      <c r="U19" s="11"/>
    </row>
    <row r="20" customFormat="false" ht="35.05" hidden="false" customHeight="false" outlineLevel="0" collapsed="false">
      <c r="A20" s="11" t="s">
        <v>177</v>
      </c>
      <c r="B20" s="11" t="s">
        <v>107</v>
      </c>
      <c r="C20" s="12" t="s">
        <v>178</v>
      </c>
      <c r="D20" s="11" t="s">
        <v>126</v>
      </c>
      <c r="E20" s="11" t="s">
        <v>116</v>
      </c>
      <c r="F20" s="11" t="s">
        <v>179</v>
      </c>
      <c r="G20" s="11" t="s">
        <v>180</v>
      </c>
      <c r="H20" s="11" t="n">
        <v>3</v>
      </c>
      <c r="I20" s="11" t="s">
        <v>18</v>
      </c>
      <c r="J20" s="11" t="s">
        <v>55</v>
      </c>
      <c r="K20" s="11" t="n">
        <v>5</v>
      </c>
      <c r="L20" s="11" t="s">
        <v>181</v>
      </c>
      <c r="M20" s="11" t="s">
        <v>182</v>
      </c>
      <c r="N20" s="11" t="s">
        <v>153</v>
      </c>
      <c r="O20" s="11" t="s">
        <v>154</v>
      </c>
      <c r="P20" s="11"/>
      <c r="Q20" s="11"/>
      <c r="R20" s="11" t="s">
        <v>60</v>
      </c>
      <c r="S20" s="11"/>
      <c r="T20" s="11"/>
      <c r="U20" s="11" t="s">
        <v>183</v>
      </c>
    </row>
    <row r="21" customFormat="false" ht="46.25" hidden="false" customHeight="false" outlineLevel="0" collapsed="false">
      <c r="A21" s="11" t="s">
        <v>184</v>
      </c>
      <c r="B21" s="11" t="s">
        <v>107</v>
      </c>
      <c r="C21" s="12" t="s">
        <v>185</v>
      </c>
      <c r="D21" s="11" t="s">
        <v>126</v>
      </c>
      <c r="E21" s="11" t="s">
        <v>102</v>
      </c>
      <c r="F21" s="11" t="s">
        <v>186</v>
      </c>
      <c r="G21" s="11" t="s">
        <v>110</v>
      </c>
      <c r="H21" s="11" t="n">
        <v>1</v>
      </c>
      <c r="I21" s="11" t="s">
        <v>19</v>
      </c>
      <c r="J21" s="11" t="s">
        <v>121</v>
      </c>
      <c r="K21" s="11" t="n">
        <v>5</v>
      </c>
      <c r="L21" s="11" t="s">
        <v>187</v>
      </c>
      <c r="M21" s="11" t="s">
        <v>188</v>
      </c>
      <c r="N21" s="11" t="s">
        <v>148</v>
      </c>
      <c r="O21" s="11" t="s">
        <v>149</v>
      </c>
      <c r="P21" s="11"/>
      <c r="Q21" s="11" t="s">
        <v>189</v>
      </c>
      <c r="R21" s="11" t="s">
        <v>60</v>
      </c>
      <c r="S21" s="11"/>
      <c r="T21" s="11"/>
      <c r="U21" s="11" t="s">
        <v>190</v>
      </c>
    </row>
    <row r="22" customFormat="false" ht="46.25" hidden="false" customHeight="false" outlineLevel="0" collapsed="false">
      <c r="A22" s="11" t="s">
        <v>191</v>
      </c>
      <c r="B22" s="11" t="s">
        <v>107</v>
      </c>
      <c r="C22" s="12" t="s">
        <v>192</v>
      </c>
      <c r="D22" s="11" t="s">
        <v>126</v>
      </c>
      <c r="E22" s="11" t="s">
        <v>102</v>
      </c>
      <c r="F22" s="11" t="s">
        <v>193</v>
      </c>
      <c r="G22" s="11" t="s">
        <v>194</v>
      </c>
      <c r="H22" s="11" t="n">
        <v>1</v>
      </c>
      <c r="I22" s="11" t="s">
        <v>18</v>
      </c>
      <c r="J22" s="11" t="s">
        <v>55</v>
      </c>
      <c r="K22" s="11" t="n">
        <v>5</v>
      </c>
      <c r="L22" s="11" t="s">
        <v>195</v>
      </c>
      <c r="M22" s="11" t="s">
        <v>196</v>
      </c>
      <c r="N22" s="11"/>
      <c r="O22" s="11"/>
      <c r="P22" s="11"/>
      <c r="Q22" s="11"/>
      <c r="R22" s="11" t="s">
        <v>60</v>
      </c>
      <c r="S22" s="11"/>
      <c r="T22" s="11"/>
      <c r="U22" s="11" t="s">
        <v>197</v>
      </c>
    </row>
    <row r="23" customFormat="false" ht="35.05" hidden="false" customHeight="false" outlineLevel="0" collapsed="false">
      <c r="A23" s="11" t="s">
        <v>198</v>
      </c>
      <c r="B23" s="11" t="s">
        <v>107</v>
      </c>
      <c r="C23" s="12" t="s">
        <v>199</v>
      </c>
      <c r="D23" s="11" t="s">
        <v>52</v>
      </c>
      <c r="E23" s="11" t="s">
        <v>102</v>
      </c>
      <c r="F23" s="11" t="s">
        <v>200</v>
      </c>
      <c r="G23" s="11" t="s">
        <v>110</v>
      </c>
      <c r="H23" s="11" t="n">
        <v>3</v>
      </c>
      <c r="I23" s="11" t="s">
        <v>19</v>
      </c>
      <c r="J23" s="11" t="s">
        <v>121</v>
      </c>
      <c r="K23" s="11" t="n">
        <v>3</v>
      </c>
      <c r="L23" s="11" t="s">
        <v>201</v>
      </c>
      <c r="M23" s="11" t="s">
        <v>202</v>
      </c>
      <c r="N23" s="11"/>
      <c r="O23" s="11"/>
      <c r="P23" s="11"/>
      <c r="Q23" s="11"/>
      <c r="R23" s="11" t="s">
        <v>60</v>
      </c>
      <c r="S23" s="11"/>
      <c r="T23" s="11"/>
      <c r="U23" s="11"/>
    </row>
    <row r="24" customFormat="false" ht="35.05" hidden="false" customHeight="false" outlineLevel="0" collapsed="false">
      <c r="A24" s="11" t="s">
        <v>203</v>
      </c>
      <c r="B24" s="11" t="s">
        <v>204</v>
      </c>
      <c r="C24" s="12" t="s">
        <v>205</v>
      </c>
      <c r="D24" s="11" t="s">
        <v>126</v>
      </c>
      <c r="E24" s="11" t="s">
        <v>206</v>
      </c>
      <c r="F24" s="11" t="s">
        <v>207</v>
      </c>
      <c r="G24" s="11" t="s">
        <v>208</v>
      </c>
      <c r="H24" s="11" t="n">
        <v>3</v>
      </c>
      <c r="I24" s="11" t="s">
        <v>19</v>
      </c>
      <c r="J24" s="11" t="s">
        <v>121</v>
      </c>
      <c r="K24" s="11" t="n">
        <v>3</v>
      </c>
      <c r="L24" s="11" t="s">
        <v>209</v>
      </c>
      <c r="M24" s="11" t="s">
        <v>210</v>
      </c>
      <c r="N24" s="11" t="s">
        <v>172</v>
      </c>
      <c r="O24" s="11" t="s">
        <v>173</v>
      </c>
      <c r="P24" s="11"/>
      <c r="Q24" s="11"/>
      <c r="R24" s="11" t="s">
        <v>60</v>
      </c>
      <c r="S24" s="11"/>
      <c r="T24" s="11"/>
      <c r="U24" s="11"/>
    </row>
    <row r="25" customFormat="false" ht="35.05" hidden="false" customHeight="false" outlineLevel="0" collapsed="false">
      <c r="A25" s="11" t="s">
        <v>211</v>
      </c>
      <c r="B25" s="11" t="s">
        <v>204</v>
      </c>
      <c r="C25" s="12" t="s">
        <v>212</v>
      </c>
      <c r="D25" s="11" t="s">
        <v>126</v>
      </c>
      <c r="E25" s="11" t="s">
        <v>206</v>
      </c>
      <c r="F25" s="11" t="s">
        <v>213</v>
      </c>
      <c r="G25" s="11" t="s">
        <v>208</v>
      </c>
      <c r="H25" s="11" t="n">
        <v>3</v>
      </c>
      <c r="I25" s="11" t="s">
        <v>19</v>
      </c>
      <c r="J25" s="11" t="s">
        <v>121</v>
      </c>
      <c r="K25" s="11" t="n">
        <v>3</v>
      </c>
      <c r="L25" s="11" t="s">
        <v>214</v>
      </c>
      <c r="M25" s="11" t="s">
        <v>215</v>
      </c>
      <c r="N25" s="11" t="s">
        <v>124</v>
      </c>
      <c r="O25" s="11" t="s">
        <v>125</v>
      </c>
      <c r="P25" s="11"/>
      <c r="Q25" s="11"/>
      <c r="R25" s="11" t="s">
        <v>60</v>
      </c>
      <c r="S25" s="11"/>
      <c r="T25" s="11"/>
      <c r="U25" s="11"/>
    </row>
    <row r="26" customFormat="false" ht="46.25" hidden="false" customHeight="false" outlineLevel="0" collapsed="false">
      <c r="A26" s="11" t="s">
        <v>216</v>
      </c>
      <c r="B26" s="11" t="s">
        <v>204</v>
      </c>
      <c r="C26" s="12" t="s">
        <v>217</v>
      </c>
      <c r="D26" s="11" t="s">
        <v>126</v>
      </c>
      <c r="E26" s="11" t="s">
        <v>206</v>
      </c>
      <c r="F26" s="11" t="s">
        <v>218</v>
      </c>
      <c r="G26" s="11" t="s">
        <v>208</v>
      </c>
      <c r="H26" s="11" t="n">
        <v>2</v>
      </c>
      <c r="I26" s="11" t="s">
        <v>18</v>
      </c>
      <c r="J26" s="11" t="s">
        <v>219</v>
      </c>
      <c r="K26" s="11" t="n">
        <v>5</v>
      </c>
      <c r="L26" s="11" t="s">
        <v>220</v>
      </c>
      <c r="M26" s="11" t="s">
        <v>221</v>
      </c>
      <c r="N26" s="11" t="s">
        <v>222</v>
      </c>
      <c r="O26" s="11" t="s">
        <v>223</v>
      </c>
      <c r="P26" s="11" t="s">
        <v>224</v>
      </c>
      <c r="Q26" s="11"/>
      <c r="R26" s="11" t="s">
        <v>60</v>
      </c>
      <c r="S26" s="11"/>
      <c r="T26" s="11"/>
      <c r="U26" s="11"/>
    </row>
    <row r="27" customFormat="false" ht="46.25" hidden="false" customHeight="false" outlineLevel="0" collapsed="false">
      <c r="A27" s="11" t="s">
        <v>225</v>
      </c>
      <c r="B27" s="11" t="s">
        <v>204</v>
      </c>
      <c r="C27" s="12" t="s">
        <v>226</v>
      </c>
      <c r="D27" s="11" t="s">
        <v>126</v>
      </c>
      <c r="E27" s="11" t="s">
        <v>206</v>
      </c>
      <c r="F27" s="11" t="s">
        <v>227</v>
      </c>
      <c r="G27" s="11" t="s">
        <v>208</v>
      </c>
      <c r="H27" s="11" t="n">
        <v>2</v>
      </c>
      <c r="I27" s="11" t="s">
        <v>18</v>
      </c>
      <c r="J27" s="11" t="s">
        <v>219</v>
      </c>
      <c r="K27" s="11" t="n">
        <v>8</v>
      </c>
      <c r="L27" s="11" t="s">
        <v>228</v>
      </c>
      <c r="M27" s="11" t="s">
        <v>229</v>
      </c>
      <c r="N27" s="11" t="s">
        <v>216</v>
      </c>
      <c r="O27" s="11" t="s">
        <v>217</v>
      </c>
      <c r="P27" s="11" t="s">
        <v>230</v>
      </c>
      <c r="Q27" s="11"/>
      <c r="R27" s="11" t="s">
        <v>60</v>
      </c>
      <c r="S27" s="11"/>
      <c r="T27" s="11"/>
      <c r="U27" s="11" t="s">
        <v>231</v>
      </c>
    </row>
    <row r="28" customFormat="false" ht="46.25" hidden="false" customHeight="false" outlineLevel="0" collapsed="false">
      <c r="A28" s="11" t="s">
        <v>232</v>
      </c>
      <c r="B28" s="11" t="s">
        <v>204</v>
      </c>
      <c r="C28" s="12" t="s">
        <v>233</v>
      </c>
      <c r="D28" s="11" t="s">
        <v>126</v>
      </c>
      <c r="E28" s="11" t="s">
        <v>206</v>
      </c>
      <c r="F28" s="11" t="s">
        <v>234</v>
      </c>
      <c r="G28" s="11" t="s">
        <v>208</v>
      </c>
      <c r="H28" s="11" t="n">
        <v>1</v>
      </c>
      <c r="I28" s="11" t="s">
        <v>18</v>
      </c>
      <c r="J28" s="11" t="s">
        <v>219</v>
      </c>
      <c r="K28" s="11" t="n">
        <v>5</v>
      </c>
      <c r="L28" s="11" t="s">
        <v>235</v>
      </c>
      <c r="M28" s="11" t="s">
        <v>236</v>
      </c>
      <c r="N28" s="11" t="s">
        <v>237</v>
      </c>
      <c r="O28" s="11" t="s">
        <v>238</v>
      </c>
      <c r="P28" s="11" t="s">
        <v>239</v>
      </c>
      <c r="Q28" s="11" t="s">
        <v>240</v>
      </c>
      <c r="R28" s="11" t="s">
        <v>60</v>
      </c>
      <c r="S28" s="11"/>
      <c r="T28" s="11"/>
      <c r="U28" s="11" t="s">
        <v>231</v>
      </c>
    </row>
    <row r="29" customFormat="false" ht="35.05" hidden="false" customHeight="false" outlineLevel="0" collapsed="false">
      <c r="A29" s="11" t="s">
        <v>241</v>
      </c>
      <c r="B29" s="11" t="s">
        <v>204</v>
      </c>
      <c r="C29" s="12" t="s">
        <v>242</v>
      </c>
      <c r="D29" s="11" t="s">
        <v>126</v>
      </c>
      <c r="E29" s="11" t="s">
        <v>206</v>
      </c>
      <c r="F29" s="11" t="s">
        <v>243</v>
      </c>
      <c r="G29" s="11" t="s">
        <v>208</v>
      </c>
      <c r="H29" s="11" t="n">
        <v>2</v>
      </c>
      <c r="I29" s="11" t="s">
        <v>19</v>
      </c>
      <c r="J29" s="11" t="s">
        <v>121</v>
      </c>
      <c r="K29" s="11" t="n">
        <v>5</v>
      </c>
      <c r="L29" s="11" t="s">
        <v>244</v>
      </c>
      <c r="M29" s="11" t="s">
        <v>245</v>
      </c>
      <c r="N29" s="11" t="s">
        <v>225</v>
      </c>
      <c r="O29" s="11" t="s">
        <v>226</v>
      </c>
      <c r="P29" s="11" t="s">
        <v>246</v>
      </c>
      <c r="Q29" s="11"/>
      <c r="R29" s="11" t="s">
        <v>60</v>
      </c>
      <c r="S29" s="11"/>
      <c r="T29" s="11"/>
      <c r="U29" s="11"/>
    </row>
    <row r="30" customFormat="false" ht="46.25" hidden="false" customHeight="false" outlineLevel="0" collapsed="false">
      <c r="A30" s="11" t="s">
        <v>247</v>
      </c>
      <c r="B30" s="11" t="s">
        <v>204</v>
      </c>
      <c r="C30" s="12" t="s">
        <v>248</v>
      </c>
      <c r="D30" s="11" t="s">
        <v>126</v>
      </c>
      <c r="E30" s="11" t="s">
        <v>206</v>
      </c>
      <c r="F30" s="11" t="s">
        <v>249</v>
      </c>
      <c r="G30" s="11" t="s">
        <v>208</v>
      </c>
      <c r="H30" s="11" t="n">
        <v>1</v>
      </c>
      <c r="I30" s="11" t="s">
        <v>18</v>
      </c>
      <c r="J30" s="11" t="s">
        <v>219</v>
      </c>
      <c r="K30" s="11" t="n">
        <v>8</v>
      </c>
      <c r="L30" s="11" t="s">
        <v>250</v>
      </c>
      <c r="M30" s="11" t="s">
        <v>251</v>
      </c>
      <c r="N30" s="11" t="s">
        <v>225</v>
      </c>
      <c r="O30" s="11" t="s">
        <v>226</v>
      </c>
      <c r="P30" s="11" t="s">
        <v>252</v>
      </c>
      <c r="Q30" s="11"/>
      <c r="R30" s="11" t="s">
        <v>60</v>
      </c>
      <c r="S30" s="11"/>
      <c r="T30" s="11"/>
      <c r="U30" s="11" t="s">
        <v>253</v>
      </c>
    </row>
    <row r="31" customFormat="false" ht="23.85" hidden="false" customHeight="false" outlineLevel="0" collapsed="false">
      <c r="A31" s="11" t="s">
        <v>254</v>
      </c>
      <c r="B31" s="11" t="s">
        <v>204</v>
      </c>
      <c r="C31" s="12" t="s">
        <v>255</v>
      </c>
      <c r="D31" s="11" t="s">
        <v>126</v>
      </c>
      <c r="E31" s="11" t="s">
        <v>206</v>
      </c>
      <c r="F31" s="11" t="s">
        <v>256</v>
      </c>
      <c r="G31" s="11" t="s">
        <v>208</v>
      </c>
      <c r="H31" s="11" t="n">
        <v>1</v>
      </c>
      <c r="I31" s="11" t="s">
        <v>18</v>
      </c>
      <c r="J31" s="11" t="s">
        <v>219</v>
      </c>
      <c r="K31" s="11" t="n">
        <v>3</v>
      </c>
      <c r="L31" s="11" t="s">
        <v>257</v>
      </c>
      <c r="M31" s="11" t="s">
        <v>258</v>
      </c>
      <c r="N31" s="11" t="s">
        <v>247</v>
      </c>
      <c r="O31" s="11" t="s">
        <v>248</v>
      </c>
      <c r="P31" s="11"/>
      <c r="Q31" s="11"/>
      <c r="R31" s="11" t="s">
        <v>60</v>
      </c>
      <c r="S31" s="11"/>
      <c r="T31" s="11"/>
      <c r="U31" s="11" t="s">
        <v>259</v>
      </c>
    </row>
    <row r="32" customFormat="false" ht="35.05" hidden="false" customHeight="false" outlineLevel="0" collapsed="false">
      <c r="A32" s="11" t="s">
        <v>260</v>
      </c>
      <c r="B32" s="11" t="s">
        <v>204</v>
      </c>
      <c r="C32" s="12" t="s">
        <v>261</v>
      </c>
      <c r="D32" s="11" t="s">
        <v>126</v>
      </c>
      <c r="E32" s="11" t="s">
        <v>262</v>
      </c>
      <c r="F32" s="11" t="s">
        <v>263</v>
      </c>
      <c r="G32" s="11" t="s">
        <v>208</v>
      </c>
      <c r="H32" s="11" t="n">
        <v>1</v>
      </c>
      <c r="I32" s="11" t="s">
        <v>18</v>
      </c>
      <c r="J32" s="11" t="s">
        <v>219</v>
      </c>
      <c r="K32" s="11" t="n">
        <v>8</v>
      </c>
      <c r="L32" s="11" t="s">
        <v>264</v>
      </c>
      <c r="M32" s="11" t="s">
        <v>265</v>
      </c>
      <c r="N32" s="11" t="s">
        <v>232</v>
      </c>
      <c r="O32" s="11" t="s">
        <v>233</v>
      </c>
      <c r="P32" s="11" t="s">
        <v>266</v>
      </c>
      <c r="Q32" s="11" t="s">
        <v>267</v>
      </c>
      <c r="R32" s="11" t="s">
        <v>60</v>
      </c>
      <c r="S32" s="11"/>
      <c r="T32" s="11"/>
      <c r="U32" s="11" t="s">
        <v>268</v>
      </c>
    </row>
    <row r="33" customFormat="false" ht="35.05" hidden="false" customHeight="false" outlineLevel="0" collapsed="false">
      <c r="A33" s="11" t="s">
        <v>269</v>
      </c>
      <c r="B33" s="11" t="s">
        <v>204</v>
      </c>
      <c r="C33" s="12" t="s">
        <v>270</v>
      </c>
      <c r="D33" s="11" t="s">
        <v>126</v>
      </c>
      <c r="E33" s="11" t="s">
        <v>206</v>
      </c>
      <c r="F33" s="11" t="s">
        <v>271</v>
      </c>
      <c r="G33" s="11" t="s">
        <v>208</v>
      </c>
      <c r="H33" s="11" t="n">
        <v>3</v>
      </c>
      <c r="I33" s="11" t="s">
        <v>19</v>
      </c>
      <c r="J33" s="11" t="s">
        <v>121</v>
      </c>
      <c r="K33" s="11" t="n">
        <v>2</v>
      </c>
      <c r="L33" s="11" t="s">
        <v>272</v>
      </c>
      <c r="M33" s="11" t="s">
        <v>273</v>
      </c>
      <c r="N33" s="11" t="s">
        <v>148</v>
      </c>
      <c r="O33" s="11" t="s">
        <v>149</v>
      </c>
      <c r="P33" s="11"/>
      <c r="Q33" s="11"/>
      <c r="R33" s="11" t="s">
        <v>60</v>
      </c>
      <c r="S33" s="11"/>
      <c r="T33" s="11"/>
      <c r="U33" s="11" t="s">
        <v>274</v>
      </c>
    </row>
    <row r="34" customFormat="false" ht="35.05" hidden="false" customHeight="false" outlineLevel="0" collapsed="false">
      <c r="A34" s="11" t="s">
        <v>275</v>
      </c>
      <c r="B34" s="11" t="s">
        <v>204</v>
      </c>
      <c r="C34" s="12" t="s">
        <v>276</v>
      </c>
      <c r="D34" s="11" t="s">
        <v>126</v>
      </c>
      <c r="E34" s="11" t="s">
        <v>206</v>
      </c>
      <c r="F34" s="11" t="s">
        <v>277</v>
      </c>
      <c r="G34" s="11" t="s">
        <v>208</v>
      </c>
      <c r="H34" s="11" t="n">
        <v>1</v>
      </c>
      <c r="I34" s="11" t="s">
        <v>18</v>
      </c>
      <c r="J34" s="11" t="s">
        <v>219</v>
      </c>
      <c r="K34" s="11" t="n">
        <v>8</v>
      </c>
      <c r="L34" s="11" t="s">
        <v>278</v>
      </c>
      <c r="M34" s="11" t="s">
        <v>279</v>
      </c>
      <c r="N34" s="11" t="s">
        <v>280</v>
      </c>
      <c r="O34" s="11" t="s">
        <v>281</v>
      </c>
      <c r="P34" s="11" t="s">
        <v>282</v>
      </c>
      <c r="Q34" s="11"/>
      <c r="R34" s="11" t="s">
        <v>60</v>
      </c>
      <c r="S34" s="11"/>
      <c r="T34" s="11"/>
      <c r="U34" s="11" t="s">
        <v>283</v>
      </c>
    </row>
    <row r="35" customFormat="false" ht="46.25" hidden="false" customHeight="false" outlineLevel="0" collapsed="false">
      <c r="A35" s="11" t="s">
        <v>284</v>
      </c>
      <c r="B35" s="11" t="s">
        <v>285</v>
      </c>
      <c r="C35" s="12" t="s">
        <v>286</v>
      </c>
      <c r="D35" s="11" t="s">
        <v>126</v>
      </c>
      <c r="E35" s="11" t="s">
        <v>206</v>
      </c>
      <c r="F35" s="11" t="s">
        <v>287</v>
      </c>
      <c r="G35" s="11" t="s">
        <v>66</v>
      </c>
      <c r="H35" s="11" t="n">
        <v>2</v>
      </c>
      <c r="I35" s="11" t="s">
        <v>18</v>
      </c>
      <c r="J35" s="11" t="s">
        <v>219</v>
      </c>
      <c r="K35" s="11" t="n">
        <v>5</v>
      </c>
      <c r="L35" s="11" t="s">
        <v>288</v>
      </c>
      <c r="M35" s="11" t="s">
        <v>289</v>
      </c>
      <c r="N35" s="11" t="s">
        <v>290</v>
      </c>
      <c r="O35" s="11" t="s">
        <v>291</v>
      </c>
      <c r="P35" s="11"/>
      <c r="Q35" s="11"/>
      <c r="R35" s="11" t="s">
        <v>60</v>
      </c>
      <c r="S35" s="11"/>
      <c r="T35" s="11"/>
      <c r="U35" s="11"/>
    </row>
    <row r="36" customFormat="false" ht="46.25" hidden="false" customHeight="false" outlineLevel="0" collapsed="false">
      <c r="A36" s="11" t="s">
        <v>292</v>
      </c>
      <c r="B36" s="11" t="s">
        <v>285</v>
      </c>
      <c r="C36" s="12" t="s">
        <v>293</v>
      </c>
      <c r="D36" s="11" t="s">
        <v>126</v>
      </c>
      <c r="E36" s="11" t="s">
        <v>206</v>
      </c>
      <c r="F36" s="11" t="s">
        <v>294</v>
      </c>
      <c r="G36" s="11" t="s">
        <v>66</v>
      </c>
      <c r="H36" s="11" t="n">
        <v>2</v>
      </c>
      <c r="I36" s="11" t="s">
        <v>18</v>
      </c>
      <c r="J36" s="11" t="s">
        <v>219</v>
      </c>
      <c r="K36" s="11" t="n">
        <v>8</v>
      </c>
      <c r="L36" s="11" t="s">
        <v>295</v>
      </c>
      <c r="M36" s="11" t="s">
        <v>296</v>
      </c>
      <c r="N36" s="11" t="s">
        <v>284</v>
      </c>
      <c r="O36" s="11" t="s">
        <v>286</v>
      </c>
      <c r="P36" s="11" t="s">
        <v>297</v>
      </c>
      <c r="Q36" s="11"/>
      <c r="R36" s="11" t="s">
        <v>60</v>
      </c>
      <c r="S36" s="11"/>
      <c r="T36" s="11"/>
      <c r="U36" s="11"/>
    </row>
    <row r="37" customFormat="false" ht="35.05" hidden="false" customHeight="false" outlineLevel="0" collapsed="false">
      <c r="A37" s="11" t="s">
        <v>298</v>
      </c>
      <c r="B37" s="11" t="s">
        <v>285</v>
      </c>
      <c r="C37" s="12" t="s">
        <v>299</v>
      </c>
      <c r="D37" s="11" t="s">
        <v>126</v>
      </c>
      <c r="E37" s="11" t="s">
        <v>206</v>
      </c>
      <c r="F37" s="11" t="s">
        <v>300</v>
      </c>
      <c r="G37" s="11" t="s">
        <v>66</v>
      </c>
      <c r="H37" s="11" t="n">
        <v>2</v>
      </c>
      <c r="I37" s="11" t="s">
        <v>18</v>
      </c>
      <c r="J37" s="11" t="s">
        <v>219</v>
      </c>
      <c r="K37" s="11" t="n">
        <v>8</v>
      </c>
      <c r="L37" s="11" t="s">
        <v>301</v>
      </c>
      <c r="M37" s="11" t="s">
        <v>302</v>
      </c>
      <c r="N37" s="11" t="s">
        <v>303</v>
      </c>
      <c r="O37" s="11" t="s">
        <v>304</v>
      </c>
      <c r="P37" s="11" t="s">
        <v>305</v>
      </c>
      <c r="Q37" s="11"/>
      <c r="R37" s="11" t="s">
        <v>60</v>
      </c>
      <c r="S37" s="11"/>
      <c r="T37" s="11"/>
      <c r="U37" s="11"/>
    </row>
    <row r="38" customFormat="false" ht="35.05" hidden="false" customHeight="false" outlineLevel="0" collapsed="false">
      <c r="A38" s="11" t="s">
        <v>306</v>
      </c>
      <c r="B38" s="11" t="s">
        <v>285</v>
      </c>
      <c r="C38" s="12" t="s">
        <v>307</v>
      </c>
      <c r="D38" s="11" t="s">
        <v>126</v>
      </c>
      <c r="E38" s="11" t="s">
        <v>206</v>
      </c>
      <c r="F38" s="11" t="s">
        <v>308</v>
      </c>
      <c r="G38" s="11" t="s">
        <v>66</v>
      </c>
      <c r="H38" s="11" t="n">
        <v>2</v>
      </c>
      <c r="I38" s="11" t="s">
        <v>18</v>
      </c>
      <c r="J38" s="11" t="s">
        <v>219</v>
      </c>
      <c r="K38" s="11" t="n">
        <v>5</v>
      </c>
      <c r="L38" s="11" t="s">
        <v>309</v>
      </c>
      <c r="M38" s="11" t="s">
        <v>310</v>
      </c>
      <c r="N38" s="11" t="s">
        <v>303</v>
      </c>
      <c r="O38" s="11" t="s">
        <v>304</v>
      </c>
      <c r="P38" s="11" t="s">
        <v>311</v>
      </c>
      <c r="Q38" s="11"/>
      <c r="R38" s="11" t="s">
        <v>60</v>
      </c>
      <c r="S38" s="11"/>
      <c r="T38" s="11"/>
      <c r="U38" s="11"/>
    </row>
    <row r="39" customFormat="false" ht="35.05" hidden="false" customHeight="false" outlineLevel="0" collapsed="false">
      <c r="A39" s="11" t="s">
        <v>312</v>
      </c>
      <c r="B39" s="11" t="s">
        <v>285</v>
      </c>
      <c r="C39" s="12" t="s">
        <v>313</v>
      </c>
      <c r="D39" s="11" t="s">
        <v>126</v>
      </c>
      <c r="E39" s="11" t="s">
        <v>206</v>
      </c>
      <c r="F39" s="11" t="s">
        <v>314</v>
      </c>
      <c r="G39" s="11" t="s">
        <v>66</v>
      </c>
      <c r="H39" s="11" t="n">
        <v>1</v>
      </c>
      <c r="I39" s="11" t="s">
        <v>18</v>
      </c>
      <c r="J39" s="11" t="s">
        <v>219</v>
      </c>
      <c r="K39" s="11" t="n">
        <v>8</v>
      </c>
      <c r="L39" s="11" t="s">
        <v>315</v>
      </c>
      <c r="M39" s="11" t="s">
        <v>316</v>
      </c>
      <c r="N39" s="11" t="s">
        <v>306</v>
      </c>
      <c r="O39" s="11" t="s">
        <v>307</v>
      </c>
      <c r="P39" s="11" t="s">
        <v>317</v>
      </c>
      <c r="Q39" s="11"/>
      <c r="R39" s="11" t="s">
        <v>60</v>
      </c>
      <c r="S39" s="11"/>
      <c r="T39" s="11"/>
      <c r="U39" s="11"/>
    </row>
    <row r="40" customFormat="false" ht="35.05" hidden="false" customHeight="false" outlineLevel="0" collapsed="false">
      <c r="A40" s="11" t="s">
        <v>318</v>
      </c>
      <c r="B40" s="11" t="s">
        <v>285</v>
      </c>
      <c r="C40" s="12" t="s">
        <v>319</v>
      </c>
      <c r="D40" s="11" t="s">
        <v>126</v>
      </c>
      <c r="E40" s="11" t="s">
        <v>262</v>
      </c>
      <c r="F40" s="11" t="s">
        <v>320</v>
      </c>
      <c r="G40" s="11" t="s">
        <v>321</v>
      </c>
      <c r="H40" s="11" t="n">
        <v>1</v>
      </c>
      <c r="I40" s="11" t="s">
        <v>18</v>
      </c>
      <c r="J40" s="11" t="s">
        <v>219</v>
      </c>
      <c r="K40" s="11" t="n">
        <v>8</v>
      </c>
      <c r="L40" s="11" t="s">
        <v>322</v>
      </c>
      <c r="M40" s="11" t="s">
        <v>323</v>
      </c>
      <c r="N40" s="11" t="s">
        <v>312</v>
      </c>
      <c r="O40" s="11" t="s">
        <v>313</v>
      </c>
      <c r="P40" s="11" t="s">
        <v>324</v>
      </c>
      <c r="Q40" s="11"/>
      <c r="R40" s="11" t="s">
        <v>60</v>
      </c>
      <c r="S40" s="11"/>
      <c r="T40" s="11"/>
      <c r="U40" s="11" t="s">
        <v>325</v>
      </c>
    </row>
    <row r="41" customFormat="false" ht="35.05" hidden="false" customHeight="false" outlineLevel="0" collapsed="false">
      <c r="A41" s="11" t="s">
        <v>326</v>
      </c>
      <c r="B41" s="11" t="s">
        <v>285</v>
      </c>
      <c r="C41" s="12" t="s">
        <v>327</v>
      </c>
      <c r="D41" s="11" t="s">
        <v>126</v>
      </c>
      <c r="E41" s="11" t="s">
        <v>206</v>
      </c>
      <c r="F41" s="11" t="s">
        <v>328</v>
      </c>
      <c r="G41" s="11" t="s">
        <v>66</v>
      </c>
      <c r="H41" s="11" t="n">
        <v>2</v>
      </c>
      <c r="I41" s="11" t="s">
        <v>18</v>
      </c>
      <c r="J41" s="11" t="s">
        <v>219</v>
      </c>
      <c r="K41" s="11" t="n">
        <v>5</v>
      </c>
      <c r="L41" s="11" t="s">
        <v>329</v>
      </c>
      <c r="M41" s="11" t="s">
        <v>330</v>
      </c>
      <c r="N41" s="11" t="s">
        <v>284</v>
      </c>
      <c r="O41" s="11" t="s">
        <v>286</v>
      </c>
      <c r="P41" s="11"/>
      <c r="Q41" s="11"/>
      <c r="R41" s="11" t="s">
        <v>60</v>
      </c>
      <c r="S41" s="11"/>
      <c r="T41" s="11"/>
      <c r="U41" s="11" t="s">
        <v>331</v>
      </c>
    </row>
    <row r="42" customFormat="false" ht="23.85" hidden="false" customHeight="false" outlineLevel="0" collapsed="false">
      <c r="A42" s="11" t="s">
        <v>332</v>
      </c>
      <c r="B42" s="11" t="s">
        <v>285</v>
      </c>
      <c r="C42" s="12" t="s">
        <v>333</v>
      </c>
      <c r="D42" s="11" t="s">
        <v>126</v>
      </c>
      <c r="E42" s="11" t="s">
        <v>206</v>
      </c>
      <c r="F42" s="11" t="s">
        <v>334</v>
      </c>
      <c r="G42" s="11" t="s">
        <v>66</v>
      </c>
      <c r="H42" s="11" t="n">
        <v>1</v>
      </c>
      <c r="I42" s="11" t="s">
        <v>19</v>
      </c>
      <c r="J42" s="11" t="s">
        <v>121</v>
      </c>
      <c r="K42" s="11" t="n">
        <v>5</v>
      </c>
      <c r="L42" s="11" t="s">
        <v>335</v>
      </c>
      <c r="M42" s="11" t="s">
        <v>336</v>
      </c>
      <c r="N42" s="11" t="s">
        <v>326</v>
      </c>
      <c r="O42" s="11" t="s">
        <v>327</v>
      </c>
      <c r="P42" s="11" t="s">
        <v>337</v>
      </c>
      <c r="Q42" s="11"/>
      <c r="R42" s="11" t="s">
        <v>60</v>
      </c>
      <c r="S42" s="11"/>
      <c r="T42" s="11"/>
      <c r="U42" s="11"/>
    </row>
    <row r="43" customFormat="false" ht="23.85" hidden="false" customHeight="false" outlineLevel="0" collapsed="false">
      <c r="A43" s="11" t="s">
        <v>338</v>
      </c>
      <c r="B43" s="11" t="s">
        <v>285</v>
      </c>
      <c r="C43" s="12" t="s">
        <v>339</v>
      </c>
      <c r="D43" s="11" t="s">
        <v>126</v>
      </c>
      <c r="E43" s="11" t="s">
        <v>206</v>
      </c>
      <c r="F43" s="11" t="s">
        <v>340</v>
      </c>
      <c r="G43" s="11" t="s">
        <v>66</v>
      </c>
      <c r="H43" s="11" t="n">
        <v>2</v>
      </c>
      <c r="I43" s="11" t="s">
        <v>20</v>
      </c>
      <c r="J43" s="11" t="s">
        <v>341</v>
      </c>
      <c r="K43" s="11" t="n">
        <v>3</v>
      </c>
      <c r="L43" s="11" t="s">
        <v>342</v>
      </c>
      <c r="M43" s="11" t="s">
        <v>343</v>
      </c>
      <c r="N43" s="11" t="s">
        <v>326</v>
      </c>
      <c r="O43" s="11" t="s">
        <v>327</v>
      </c>
      <c r="P43" s="11"/>
      <c r="Q43" s="11"/>
      <c r="R43" s="11" t="s">
        <v>60</v>
      </c>
      <c r="S43" s="11"/>
      <c r="T43" s="11"/>
      <c r="U43" s="11"/>
    </row>
    <row r="44" customFormat="false" ht="23.85" hidden="false" customHeight="false" outlineLevel="0" collapsed="false">
      <c r="A44" s="11" t="s">
        <v>344</v>
      </c>
      <c r="B44" s="11" t="s">
        <v>285</v>
      </c>
      <c r="C44" s="12" t="s">
        <v>345</v>
      </c>
      <c r="D44" s="11" t="s">
        <v>126</v>
      </c>
      <c r="E44" s="11" t="s">
        <v>206</v>
      </c>
      <c r="F44" s="11" t="s">
        <v>65</v>
      </c>
      <c r="G44" s="11" t="s">
        <v>66</v>
      </c>
      <c r="H44" s="11" t="n">
        <v>1</v>
      </c>
      <c r="I44" s="11" t="s">
        <v>19</v>
      </c>
      <c r="J44" s="11" t="s">
        <v>121</v>
      </c>
      <c r="K44" s="11" t="n">
        <v>5</v>
      </c>
      <c r="L44" s="11" t="s">
        <v>346</v>
      </c>
      <c r="M44" s="11" t="s">
        <v>347</v>
      </c>
      <c r="N44" s="11" t="s">
        <v>62</v>
      </c>
      <c r="O44" s="11" t="s">
        <v>63</v>
      </c>
      <c r="P44" s="11" t="s">
        <v>348</v>
      </c>
      <c r="Q44" s="11"/>
      <c r="R44" s="11" t="s">
        <v>60</v>
      </c>
      <c r="S44" s="11"/>
      <c r="T44" s="11"/>
      <c r="U44" s="11"/>
    </row>
    <row r="45" customFormat="false" ht="23.85" hidden="false" customHeight="false" outlineLevel="0" collapsed="false">
      <c r="A45" s="11" t="s">
        <v>349</v>
      </c>
      <c r="B45" s="11" t="s">
        <v>285</v>
      </c>
      <c r="C45" s="12" t="s">
        <v>350</v>
      </c>
      <c r="D45" s="11" t="s">
        <v>126</v>
      </c>
      <c r="E45" s="11" t="s">
        <v>206</v>
      </c>
      <c r="F45" s="11" t="s">
        <v>350</v>
      </c>
      <c r="G45" s="11" t="s">
        <v>66</v>
      </c>
      <c r="H45" s="11" t="n">
        <v>3</v>
      </c>
      <c r="I45" s="11" t="s">
        <v>20</v>
      </c>
      <c r="J45" s="11" t="s">
        <v>341</v>
      </c>
      <c r="K45" s="11" t="n">
        <v>3</v>
      </c>
      <c r="L45" s="11" t="s">
        <v>351</v>
      </c>
      <c r="M45" s="11" t="s">
        <v>352</v>
      </c>
      <c r="N45" s="11" t="s">
        <v>326</v>
      </c>
      <c r="O45" s="11" t="s">
        <v>327</v>
      </c>
      <c r="P45" s="11"/>
      <c r="Q45" s="11"/>
      <c r="R45" s="11" t="s">
        <v>60</v>
      </c>
      <c r="S45" s="11"/>
      <c r="T45" s="11"/>
      <c r="U45" s="11"/>
    </row>
    <row r="46" customFormat="false" ht="35.05" hidden="false" customHeight="false" outlineLevel="0" collapsed="false">
      <c r="A46" s="11" t="s">
        <v>353</v>
      </c>
      <c r="B46" s="11" t="s">
        <v>285</v>
      </c>
      <c r="C46" s="12" t="s">
        <v>354</v>
      </c>
      <c r="D46" s="11" t="s">
        <v>126</v>
      </c>
      <c r="E46" s="11" t="s">
        <v>206</v>
      </c>
      <c r="F46" s="11" t="s">
        <v>355</v>
      </c>
      <c r="G46" s="11" t="s">
        <v>66</v>
      </c>
      <c r="H46" s="11" t="n">
        <v>1</v>
      </c>
      <c r="I46" s="11" t="s">
        <v>19</v>
      </c>
      <c r="J46" s="11" t="s">
        <v>121</v>
      </c>
      <c r="K46" s="11" t="n">
        <v>5</v>
      </c>
      <c r="L46" s="11" t="s">
        <v>356</v>
      </c>
      <c r="M46" s="11" t="s">
        <v>357</v>
      </c>
      <c r="N46" s="11" t="s">
        <v>344</v>
      </c>
      <c r="O46" s="11" t="s">
        <v>345</v>
      </c>
      <c r="P46" s="11"/>
      <c r="Q46" s="11" t="s">
        <v>358</v>
      </c>
      <c r="R46" s="11" t="s">
        <v>60</v>
      </c>
      <c r="S46" s="11"/>
      <c r="T46" s="11"/>
      <c r="U46" s="11"/>
    </row>
    <row r="47" customFormat="false" ht="35.05" hidden="false" customHeight="false" outlineLevel="0" collapsed="false">
      <c r="A47" s="11" t="s">
        <v>359</v>
      </c>
      <c r="B47" s="11" t="s">
        <v>285</v>
      </c>
      <c r="C47" s="12" t="s">
        <v>360</v>
      </c>
      <c r="D47" s="11" t="s">
        <v>126</v>
      </c>
      <c r="E47" s="11" t="s">
        <v>206</v>
      </c>
      <c r="F47" s="11" t="s">
        <v>361</v>
      </c>
      <c r="G47" s="11" t="s">
        <v>66</v>
      </c>
      <c r="H47" s="11" t="n">
        <v>1</v>
      </c>
      <c r="I47" s="11" t="s">
        <v>18</v>
      </c>
      <c r="J47" s="11" t="s">
        <v>219</v>
      </c>
      <c r="K47" s="11" t="n">
        <v>8</v>
      </c>
      <c r="L47" s="11" t="s">
        <v>362</v>
      </c>
      <c r="M47" s="11" t="s">
        <v>363</v>
      </c>
      <c r="N47" s="11" t="s">
        <v>326</v>
      </c>
      <c r="O47" s="11" t="s">
        <v>327</v>
      </c>
      <c r="P47" s="11" t="s">
        <v>364</v>
      </c>
      <c r="Q47" s="11"/>
      <c r="R47" s="11" t="s">
        <v>60</v>
      </c>
      <c r="S47" s="11"/>
      <c r="T47" s="11"/>
      <c r="U47" s="11"/>
    </row>
    <row r="48" customFormat="false" ht="35.05" hidden="false" customHeight="false" outlineLevel="0" collapsed="false">
      <c r="A48" s="11" t="s">
        <v>365</v>
      </c>
      <c r="B48" s="11" t="s">
        <v>285</v>
      </c>
      <c r="C48" s="12" t="s">
        <v>366</v>
      </c>
      <c r="D48" s="11" t="s">
        <v>126</v>
      </c>
      <c r="E48" s="11" t="s">
        <v>206</v>
      </c>
      <c r="F48" s="11" t="s">
        <v>367</v>
      </c>
      <c r="G48" s="11" t="s">
        <v>66</v>
      </c>
      <c r="H48" s="11" t="n">
        <v>1</v>
      </c>
      <c r="I48" s="11" t="s">
        <v>18</v>
      </c>
      <c r="J48" s="11" t="s">
        <v>219</v>
      </c>
      <c r="K48" s="11" t="n">
        <v>8</v>
      </c>
      <c r="L48" s="11" t="s">
        <v>368</v>
      </c>
      <c r="M48" s="11" t="s">
        <v>369</v>
      </c>
      <c r="N48" s="11" t="s">
        <v>298</v>
      </c>
      <c r="O48" s="11" t="s">
        <v>299</v>
      </c>
      <c r="P48" s="11" t="s">
        <v>370</v>
      </c>
      <c r="Q48" s="11"/>
      <c r="R48" s="11" t="s">
        <v>60</v>
      </c>
      <c r="S48" s="11"/>
      <c r="T48" s="11"/>
      <c r="U48" s="11"/>
    </row>
    <row r="49" customFormat="false" ht="35.05" hidden="false" customHeight="false" outlineLevel="0" collapsed="false">
      <c r="A49" s="11" t="s">
        <v>371</v>
      </c>
      <c r="B49" s="11" t="s">
        <v>285</v>
      </c>
      <c r="C49" s="12" t="s">
        <v>372</v>
      </c>
      <c r="D49" s="11" t="s">
        <v>126</v>
      </c>
      <c r="E49" s="11" t="s">
        <v>206</v>
      </c>
      <c r="F49" s="11" t="s">
        <v>373</v>
      </c>
      <c r="G49" s="11" t="s">
        <v>66</v>
      </c>
      <c r="H49" s="11" t="n">
        <v>1</v>
      </c>
      <c r="I49" s="11" t="s">
        <v>19</v>
      </c>
      <c r="J49" s="11" t="s">
        <v>121</v>
      </c>
      <c r="K49" s="11" t="n">
        <v>5</v>
      </c>
      <c r="L49" s="11" t="s">
        <v>374</v>
      </c>
      <c r="M49" s="11" t="s">
        <v>375</v>
      </c>
      <c r="N49" s="11" t="s">
        <v>184</v>
      </c>
      <c r="O49" s="11" t="s">
        <v>185</v>
      </c>
      <c r="P49" s="11"/>
      <c r="Q49" s="11"/>
      <c r="R49" s="11" t="s">
        <v>60</v>
      </c>
      <c r="S49" s="11"/>
      <c r="T49" s="11"/>
      <c r="U49" s="11"/>
    </row>
    <row r="50" customFormat="false" ht="35.05" hidden="false" customHeight="false" outlineLevel="0" collapsed="false">
      <c r="A50" s="11" t="s">
        <v>376</v>
      </c>
      <c r="B50" s="11" t="s">
        <v>285</v>
      </c>
      <c r="C50" s="12" t="s">
        <v>377</v>
      </c>
      <c r="D50" s="11" t="s">
        <v>126</v>
      </c>
      <c r="E50" s="11" t="s">
        <v>206</v>
      </c>
      <c r="F50" s="11" t="s">
        <v>378</v>
      </c>
      <c r="G50" s="11" t="s">
        <v>66</v>
      </c>
      <c r="H50" s="11" t="n">
        <v>3</v>
      </c>
      <c r="I50" s="11" t="s">
        <v>19</v>
      </c>
      <c r="J50" s="11" t="s">
        <v>121</v>
      </c>
      <c r="K50" s="11" t="n">
        <v>3</v>
      </c>
      <c r="L50" s="11" t="s">
        <v>379</v>
      </c>
      <c r="M50" s="11" t="s">
        <v>380</v>
      </c>
      <c r="N50" s="11" t="s">
        <v>165</v>
      </c>
      <c r="O50" s="11" t="s">
        <v>166</v>
      </c>
      <c r="P50" s="11"/>
      <c r="Q50" s="11"/>
      <c r="R50" s="11" t="s">
        <v>60</v>
      </c>
      <c r="S50" s="11"/>
      <c r="T50" s="11"/>
      <c r="U50" s="11"/>
    </row>
    <row r="51" customFormat="false" ht="35.05" hidden="false" customHeight="false" outlineLevel="0" collapsed="false">
      <c r="A51" s="11" t="s">
        <v>381</v>
      </c>
      <c r="B51" s="11" t="s">
        <v>382</v>
      </c>
      <c r="C51" s="12" t="s">
        <v>383</v>
      </c>
      <c r="D51" s="11" t="s">
        <v>126</v>
      </c>
      <c r="E51" s="11" t="s">
        <v>206</v>
      </c>
      <c r="F51" s="11" t="s">
        <v>384</v>
      </c>
      <c r="G51" s="11" t="s">
        <v>66</v>
      </c>
      <c r="H51" s="11" t="n">
        <v>1</v>
      </c>
      <c r="I51" s="11" t="s">
        <v>18</v>
      </c>
      <c r="J51" s="11" t="s">
        <v>219</v>
      </c>
      <c r="K51" s="11" t="n">
        <v>8</v>
      </c>
      <c r="L51" s="11" t="s">
        <v>385</v>
      </c>
      <c r="M51" s="11" t="s">
        <v>386</v>
      </c>
      <c r="N51" s="11" t="s">
        <v>225</v>
      </c>
      <c r="O51" s="11" t="s">
        <v>226</v>
      </c>
      <c r="P51" s="11"/>
      <c r="Q51" s="11"/>
      <c r="R51" s="11" t="s">
        <v>60</v>
      </c>
      <c r="S51" s="11"/>
      <c r="T51" s="11"/>
      <c r="U51" s="11" t="s">
        <v>387</v>
      </c>
    </row>
    <row r="52" customFormat="false" ht="35.05" hidden="false" customHeight="false" outlineLevel="0" collapsed="false">
      <c r="A52" s="11" t="s">
        <v>388</v>
      </c>
      <c r="B52" s="11" t="s">
        <v>382</v>
      </c>
      <c r="C52" s="12" t="s">
        <v>389</v>
      </c>
      <c r="D52" s="11" t="s">
        <v>126</v>
      </c>
      <c r="E52" s="11" t="s">
        <v>206</v>
      </c>
      <c r="F52" s="11" t="s">
        <v>390</v>
      </c>
      <c r="G52" s="11" t="s">
        <v>66</v>
      </c>
      <c r="H52" s="11" t="n">
        <v>1</v>
      </c>
      <c r="I52" s="11" t="s">
        <v>18</v>
      </c>
      <c r="J52" s="11" t="s">
        <v>219</v>
      </c>
      <c r="K52" s="11" t="n">
        <v>5</v>
      </c>
      <c r="L52" s="11" t="s">
        <v>391</v>
      </c>
      <c r="M52" s="11" t="s">
        <v>392</v>
      </c>
      <c r="N52" s="11" t="s">
        <v>191</v>
      </c>
      <c r="O52" s="11" t="s">
        <v>192</v>
      </c>
      <c r="P52" s="11"/>
      <c r="Q52" s="11" t="s">
        <v>393</v>
      </c>
      <c r="R52" s="11" t="s">
        <v>60</v>
      </c>
      <c r="S52" s="11"/>
      <c r="T52" s="11"/>
      <c r="U52" s="11"/>
    </row>
    <row r="53" customFormat="false" ht="35.05" hidden="false" customHeight="false" outlineLevel="0" collapsed="false">
      <c r="A53" s="11" t="s">
        <v>394</v>
      </c>
      <c r="B53" s="11" t="s">
        <v>382</v>
      </c>
      <c r="C53" s="12" t="s">
        <v>395</v>
      </c>
      <c r="D53" s="11" t="s">
        <v>126</v>
      </c>
      <c r="E53" s="11" t="s">
        <v>206</v>
      </c>
      <c r="F53" s="11" t="s">
        <v>396</v>
      </c>
      <c r="G53" s="11" t="s">
        <v>66</v>
      </c>
      <c r="H53" s="11" t="n">
        <v>1</v>
      </c>
      <c r="I53" s="11" t="s">
        <v>18</v>
      </c>
      <c r="J53" s="11" t="s">
        <v>219</v>
      </c>
      <c r="K53" s="11" t="n">
        <v>8</v>
      </c>
      <c r="L53" s="11" t="s">
        <v>397</v>
      </c>
      <c r="M53" s="11" t="s">
        <v>398</v>
      </c>
      <c r="N53" s="11" t="s">
        <v>381</v>
      </c>
      <c r="O53" s="11" t="s">
        <v>383</v>
      </c>
      <c r="P53" s="11" t="s">
        <v>399</v>
      </c>
      <c r="Q53" s="11"/>
      <c r="R53" s="11" t="s">
        <v>60</v>
      </c>
      <c r="S53" s="11"/>
      <c r="T53" s="11"/>
      <c r="U53" s="11" t="s">
        <v>400</v>
      </c>
    </row>
    <row r="54" customFormat="false" ht="35.05" hidden="false" customHeight="false" outlineLevel="0" collapsed="false">
      <c r="A54" s="11" t="s">
        <v>401</v>
      </c>
      <c r="B54" s="11" t="s">
        <v>382</v>
      </c>
      <c r="C54" s="12" t="s">
        <v>402</v>
      </c>
      <c r="D54" s="11" t="s">
        <v>126</v>
      </c>
      <c r="E54" s="11" t="s">
        <v>206</v>
      </c>
      <c r="F54" s="11" t="s">
        <v>403</v>
      </c>
      <c r="G54" s="11" t="s">
        <v>66</v>
      </c>
      <c r="H54" s="11" t="n">
        <v>1</v>
      </c>
      <c r="I54" s="11" t="s">
        <v>18</v>
      </c>
      <c r="J54" s="11" t="s">
        <v>219</v>
      </c>
      <c r="K54" s="11" t="n">
        <v>5</v>
      </c>
      <c r="L54" s="11" t="s">
        <v>404</v>
      </c>
      <c r="M54" s="11" t="s">
        <v>405</v>
      </c>
      <c r="N54" s="11" t="s">
        <v>359</v>
      </c>
      <c r="O54" s="11" t="s">
        <v>360</v>
      </c>
      <c r="P54" s="11" t="s">
        <v>406</v>
      </c>
      <c r="Q54" s="11"/>
      <c r="R54" s="11" t="s">
        <v>60</v>
      </c>
      <c r="S54" s="11"/>
      <c r="T54" s="11"/>
      <c r="U54" s="11"/>
    </row>
    <row r="55" customFormat="false" ht="35.05" hidden="false" customHeight="false" outlineLevel="0" collapsed="false">
      <c r="A55" s="11" t="s">
        <v>407</v>
      </c>
      <c r="B55" s="11" t="s">
        <v>382</v>
      </c>
      <c r="C55" s="12" t="s">
        <v>408</v>
      </c>
      <c r="D55" s="11" t="s">
        <v>126</v>
      </c>
      <c r="E55" s="11" t="s">
        <v>206</v>
      </c>
      <c r="F55" s="11" t="s">
        <v>409</v>
      </c>
      <c r="G55" s="11" t="s">
        <v>66</v>
      </c>
      <c r="H55" s="11" t="n">
        <v>1</v>
      </c>
      <c r="I55" s="11" t="s">
        <v>19</v>
      </c>
      <c r="J55" s="11" t="s">
        <v>121</v>
      </c>
      <c r="K55" s="11" t="n">
        <v>5</v>
      </c>
      <c r="L55" s="11" t="s">
        <v>410</v>
      </c>
      <c r="M55" s="11" t="s">
        <v>411</v>
      </c>
      <c r="N55" s="11" t="s">
        <v>401</v>
      </c>
      <c r="O55" s="11" t="s">
        <v>402</v>
      </c>
      <c r="P55" s="11"/>
      <c r="Q55" s="11"/>
      <c r="R55" s="11" t="s">
        <v>60</v>
      </c>
      <c r="S55" s="11"/>
      <c r="T55" s="11"/>
      <c r="U55" s="11"/>
    </row>
    <row r="56" customFormat="false" ht="23.85" hidden="false" customHeight="false" outlineLevel="0" collapsed="false">
      <c r="A56" s="11" t="s">
        <v>412</v>
      </c>
      <c r="B56" s="11" t="s">
        <v>382</v>
      </c>
      <c r="C56" s="12" t="s">
        <v>413</v>
      </c>
      <c r="D56" s="11" t="s">
        <v>126</v>
      </c>
      <c r="E56" s="11" t="s">
        <v>206</v>
      </c>
      <c r="F56" s="11" t="s">
        <v>414</v>
      </c>
      <c r="G56" s="11" t="s">
        <v>66</v>
      </c>
      <c r="H56" s="11" t="n">
        <v>2</v>
      </c>
      <c r="I56" s="11" t="s">
        <v>19</v>
      </c>
      <c r="J56" s="11" t="s">
        <v>121</v>
      </c>
      <c r="K56" s="11" t="n">
        <v>3</v>
      </c>
      <c r="L56" s="11" t="s">
        <v>415</v>
      </c>
      <c r="M56" s="11" t="s">
        <v>416</v>
      </c>
      <c r="N56" s="11" t="s">
        <v>359</v>
      </c>
      <c r="O56" s="11" t="s">
        <v>360</v>
      </c>
      <c r="P56" s="11" t="s">
        <v>417</v>
      </c>
      <c r="Q56" s="11"/>
      <c r="R56" s="11" t="s">
        <v>60</v>
      </c>
      <c r="S56" s="11"/>
      <c r="T56" s="11"/>
      <c r="U56" s="11"/>
    </row>
    <row r="57" customFormat="false" ht="23.85" hidden="false" customHeight="false" outlineLevel="0" collapsed="false">
      <c r="A57" s="11" t="s">
        <v>418</v>
      </c>
      <c r="B57" s="11" t="s">
        <v>382</v>
      </c>
      <c r="C57" s="12" t="s">
        <v>419</v>
      </c>
      <c r="D57" s="11" t="s">
        <v>126</v>
      </c>
      <c r="E57" s="11" t="s">
        <v>206</v>
      </c>
      <c r="F57" s="11" t="s">
        <v>420</v>
      </c>
      <c r="G57" s="11" t="s">
        <v>66</v>
      </c>
      <c r="H57" s="11" t="n">
        <v>2</v>
      </c>
      <c r="I57" s="11" t="s">
        <v>20</v>
      </c>
      <c r="J57" s="11" t="s">
        <v>341</v>
      </c>
      <c r="K57" s="11" t="n">
        <v>3</v>
      </c>
      <c r="L57" s="11" t="s">
        <v>421</v>
      </c>
      <c r="M57" s="11" t="s">
        <v>422</v>
      </c>
      <c r="N57" s="11" t="s">
        <v>254</v>
      </c>
      <c r="O57" s="11" t="s">
        <v>255</v>
      </c>
      <c r="P57" s="11" t="s">
        <v>423</v>
      </c>
      <c r="Q57" s="11"/>
      <c r="R57" s="11" t="s">
        <v>60</v>
      </c>
      <c r="S57" s="11"/>
      <c r="T57" s="11"/>
      <c r="U57" s="11"/>
    </row>
    <row r="58" customFormat="false" ht="35.05" hidden="false" customHeight="false" outlineLevel="0" collapsed="false">
      <c r="A58" s="11" t="s">
        <v>280</v>
      </c>
      <c r="B58" s="11" t="s">
        <v>382</v>
      </c>
      <c r="C58" s="12" t="s">
        <v>281</v>
      </c>
      <c r="D58" s="11" t="s">
        <v>126</v>
      </c>
      <c r="E58" s="11" t="s">
        <v>206</v>
      </c>
      <c r="F58" s="11" t="s">
        <v>424</v>
      </c>
      <c r="G58" s="11" t="s">
        <v>66</v>
      </c>
      <c r="H58" s="11" t="n">
        <v>1</v>
      </c>
      <c r="I58" s="11" t="s">
        <v>18</v>
      </c>
      <c r="J58" s="11" t="s">
        <v>219</v>
      </c>
      <c r="K58" s="11" t="n">
        <v>8</v>
      </c>
      <c r="L58" s="11" t="s">
        <v>425</v>
      </c>
      <c r="M58" s="11" t="s">
        <v>426</v>
      </c>
      <c r="N58" s="11" t="s">
        <v>247</v>
      </c>
      <c r="O58" s="11" t="s">
        <v>248</v>
      </c>
      <c r="P58" s="11" t="s">
        <v>427</v>
      </c>
      <c r="Q58" s="11"/>
      <c r="R58" s="11" t="s">
        <v>60</v>
      </c>
      <c r="S58" s="11"/>
      <c r="T58" s="11"/>
      <c r="U58" s="11" t="s">
        <v>428</v>
      </c>
    </row>
    <row r="59" customFormat="false" ht="35.05" hidden="false" customHeight="false" outlineLevel="0" collapsed="false">
      <c r="A59" s="11" t="s">
        <v>429</v>
      </c>
      <c r="B59" s="11" t="s">
        <v>382</v>
      </c>
      <c r="C59" s="12" t="s">
        <v>430</v>
      </c>
      <c r="D59" s="11" t="s">
        <v>126</v>
      </c>
      <c r="E59" s="11" t="s">
        <v>206</v>
      </c>
      <c r="F59" s="11" t="s">
        <v>431</v>
      </c>
      <c r="G59" s="11" t="s">
        <v>66</v>
      </c>
      <c r="H59" s="11" t="n">
        <v>2</v>
      </c>
      <c r="I59" s="11" t="s">
        <v>19</v>
      </c>
      <c r="J59" s="11" t="s">
        <v>121</v>
      </c>
      <c r="K59" s="11" t="n">
        <v>3</v>
      </c>
      <c r="L59" s="11" t="s">
        <v>432</v>
      </c>
      <c r="M59" s="11" t="s">
        <v>433</v>
      </c>
      <c r="N59" s="11" t="s">
        <v>434</v>
      </c>
      <c r="O59" s="11" t="s">
        <v>435</v>
      </c>
      <c r="P59" s="11"/>
      <c r="Q59" s="11"/>
      <c r="R59" s="11" t="s">
        <v>60</v>
      </c>
      <c r="S59" s="11"/>
      <c r="T59" s="11"/>
      <c r="U59" s="11" t="s">
        <v>436</v>
      </c>
    </row>
    <row r="60" customFormat="false" ht="35.05" hidden="false" customHeight="false" outlineLevel="0" collapsed="false">
      <c r="A60" s="11" t="s">
        <v>437</v>
      </c>
      <c r="B60" s="11" t="s">
        <v>382</v>
      </c>
      <c r="C60" s="12" t="s">
        <v>438</v>
      </c>
      <c r="D60" s="11" t="s">
        <v>126</v>
      </c>
      <c r="E60" s="11" t="s">
        <v>206</v>
      </c>
      <c r="F60" s="11" t="s">
        <v>439</v>
      </c>
      <c r="G60" s="11" t="s">
        <v>66</v>
      </c>
      <c r="H60" s="11" t="n">
        <v>1</v>
      </c>
      <c r="I60" s="11" t="s">
        <v>18</v>
      </c>
      <c r="J60" s="11" t="s">
        <v>219</v>
      </c>
      <c r="K60" s="11" t="n">
        <v>5</v>
      </c>
      <c r="L60" s="11" t="s">
        <v>440</v>
      </c>
      <c r="M60" s="11" t="s">
        <v>441</v>
      </c>
      <c r="N60" s="11" t="s">
        <v>434</v>
      </c>
      <c r="O60" s="11" t="s">
        <v>435</v>
      </c>
      <c r="P60" s="11" t="s">
        <v>442</v>
      </c>
      <c r="Q60" s="11"/>
      <c r="R60" s="11" t="s">
        <v>60</v>
      </c>
      <c r="S60" s="11"/>
      <c r="T60" s="11"/>
      <c r="U60" s="11" t="s">
        <v>443</v>
      </c>
    </row>
    <row r="61" customFormat="false" ht="23.85" hidden="false" customHeight="false" outlineLevel="0" collapsed="false">
      <c r="A61" s="11" t="s">
        <v>444</v>
      </c>
      <c r="B61" s="11" t="s">
        <v>382</v>
      </c>
      <c r="C61" s="12" t="s">
        <v>445</v>
      </c>
      <c r="D61" s="11" t="s">
        <v>126</v>
      </c>
      <c r="E61" s="11" t="s">
        <v>206</v>
      </c>
      <c r="F61" s="11" t="s">
        <v>446</v>
      </c>
      <c r="G61" s="11" t="s">
        <v>66</v>
      </c>
      <c r="H61" s="11" t="n">
        <v>1</v>
      </c>
      <c r="I61" s="11" t="s">
        <v>18</v>
      </c>
      <c r="J61" s="11" t="s">
        <v>219</v>
      </c>
      <c r="K61" s="11" t="n">
        <v>3</v>
      </c>
      <c r="L61" s="11" t="s">
        <v>447</v>
      </c>
      <c r="M61" s="11" t="s">
        <v>448</v>
      </c>
      <c r="N61" s="11"/>
      <c r="O61" s="11"/>
      <c r="P61" s="11"/>
      <c r="Q61" s="11" t="s">
        <v>449</v>
      </c>
      <c r="R61" s="11" t="s">
        <v>60</v>
      </c>
      <c r="S61" s="11"/>
      <c r="T61" s="11"/>
      <c r="U61" s="11" t="s">
        <v>450</v>
      </c>
    </row>
    <row r="62" customFormat="false" ht="35.05" hidden="false" customHeight="false" outlineLevel="0" collapsed="false">
      <c r="A62" s="11" t="s">
        <v>451</v>
      </c>
      <c r="B62" s="11" t="s">
        <v>382</v>
      </c>
      <c r="C62" s="12" t="s">
        <v>452</v>
      </c>
      <c r="D62" s="11" t="s">
        <v>126</v>
      </c>
      <c r="E62" s="11" t="s">
        <v>206</v>
      </c>
      <c r="F62" s="11" t="s">
        <v>453</v>
      </c>
      <c r="G62" s="11" t="s">
        <v>66</v>
      </c>
      <c r="H62" s="11" t="n">
        <v>2</v>
      </c>
      <c r="I62" s="11" t="s">
        <v>19</v>
      </c>
      <c r="J62" s="11" t="s">
        <v>121</v>
      </c>
      <c r="K62" s="11" t="n">
        <v>3</v>
      </c>
      <c r="L62" s="11" t="s">
        <v>454</v>
      </c>
      <c r="M62" s="11" t="s">
        <v>455</v>
      </c>
      <c r="N62" s="11" t="s">
        <v>131</v>
      </c>
      <c r="O62" s="11" t="s">
        <v>132</v>
      </c>
      <c r="P62" s="11"/>
      <c r="Q62" s="11"/>
      <c r="R62" s="11" t="s">
        <v>60</v>
      </c>
      <c r="S62" s="11"/>
      <c r="T62" s="11"/>
      <c r="U62" s="11" t="s">
        <v>456</v>
      </c>
    </row>
    <row r="63" customFormat="false" ht="35.05" hidden="false" customHeight="false" outlineLevel="0" collapsed="false">
      <c r="A63" s="11" t="s">
        <v>457</v>
      </c>
      <c r="B63" s="11" t="s">
        <v>458</v>
      </c>
      <c r="C63" s="12" t="s">
        <v>459</v>
      </c>
      <c r="D63" s="11" t="s">
        <v>126</v>
      </c>
      <c r="E63" s="11" t="s">
        <v>206</v>
      </c>
      <c r="F63" s="11" t="s">
        <v>460</v>
      </c>
      <c r="G63" s="11" t="s">
        <v>66</v>
      </c>
      <c r="H63" s="11" t="n">
        <v>2</v>
      </c>
      <c r="I63" s="11" t="s">
        <v>18</v>
      </c>
      <c r="J63" s="11" t="s">
        <v>219</v>
      </c>
      <c r="K63" s="11" t="n">
        <v>8</v>
      </c>
      <c r="L63" s="11" t="s">
        <v>461</v>
      </c>
      <c r="M63" s="11" t="s">
        <v>462</v>
      </c>
      <c r="N63" s="11" t="s">
        <v>165</v>
      </c>
      <c r="O63" s="11" t="s">
        <v>166</v>
      </c>
      <c r="P63" s="11" t="s">
        <v>463</v>
      </c>
      <c r="Q63" s="11" t="s">
        <v>464</v>
      </c>
      <c r="R63" s="11" t="s">
        <v>60</v>
      </c>
      <c r="S63" s="11"/>
      <c r="T63" s="11"/>
      <c r="U63" s="11"/>
    </row>
    <row r="64" customFormat="false" ht="35.05" hidden="false" customHeight="false" outlineLevel="0" collapsed="false">
      <c r="A64" s="11" t="s">
        <v>465</v>
      </c>
      <c r="B64" s="11" t="s">
        <v>458</v>
      </c>
      <c r="C64" s="12" t="s">
        <v>466</v>
      </c>
      <c r="D64" s="11" t="s">
        <v>126</v>
      </c>
      <c r="E64" s="11" t="s">
        <v>206</v>
      </c>
      <c r="F64" s="11" t="s">
        <v>467</v>
      </c>
      <c r="G64" s="11" t="s">
        <v>66</v>
      </c>
      <c r="H64" s="11" t="n">
        <v>2</v>
      </c>
      <c r="I64" s="11" t="s">
        <v>18</v>
      </c>
      <c r="J64" s="11" t="s">
        <v>219</v>
      </c>
      <c r="K64" s="11" t="n">
        <v>8</v>
      </c>
      <c r="L64" s="11" t="s">
        <v>468</v>
      </c>
      <c r="M64" s="11" t="s">
        <v>469</v>
      </c>
      <c r="N64" s="11" t="s">
        <v>470</v>
      </c>
      <c r="O64" s="11" t="s">
        <v>471</v>
      </c>
      <c r="P64" s="11" t="s">
        <v>472</v>
      </c>
      <c r="Q64" s="11"/>
      <c r="R64" s="11" t="s">
        <v>60</v>
      </c>
      <c r="S64" s="11"/>
      <c r="T64" s="11"/>
      <c r="U64" s="11"/>
    </row>
    <row r="65" customFormat="false" ht="35.05" hidden="false" customHeight="false" outlineLevel="0" collapsed="false">
      <c r="A65" s="11" t="s">
        <v>473</v>
      </c>
      <c r="B65" s="11" t="s">
        <v>458</v>
      </c>
      <c r="C65" s="12" t="s">
        <v>474</v>
      </c>
      <c r="D65" s="11" t="s">
        <v>126</v>
      </c>
      <c r="E65" s="11" t="s">
        <v>206</v>
      </c>
      <c r="F65" s="11" t="s">
        <v>475</v>
      </c>
      <c r="G65" s="11" t="s">
        <v>66</v>
      </c>
      <c r="H65" s="11" t="n">
        <v>2</v>
      </c>
      <c r="I65" s="11" t="s">
        <v>18</v>
      </c>
      <c r="J65" s="11" t="s">
        <v>219</v>
      </c>
      <c r="K65" s="11" t="n">
        <v>5</v>
      </c>
      <c r="L65" s="11" t="s">
        <v>476</v>
      </c>
      <c r="M65" s="11" t="s">
        <v>477</v>
      </c>
      <c r="N65" s="11" t="s">
        <v>465</v>
      </c>
      <c r="O65" s="11" t="s">
        <v>466</v>
      </c>
      <c r="P65" s="11" t="s">
        <v>478</v>
      </c>
      <c r="Q65" s="11"/>
      <c r="R65" s="11" t="s">
        <v>60</v>
      </c>
      <c r="S65" s="11"/>
      <c r="T65" s="11"/>
      <c r="U65" s="11"/>
    </row>
    <row r="66" customFormat="false" ht="35.05" hidden="false" customHeight="false" outlineLevel="0" collapsed="false">
      <c r="A66" s="11" t="s">
        <v>479</v>
      </c>
      <c r="B66" s="11" t="s">
        <v>458</v>
      </c>
      <c r="C66" s="12" t="s">
        <v>480</v>
      </c>
      <c r="D66" s="11" t="s">
        <v>126</v>
      </c>
      <c r="E66" s="11" t="s">
        <v>206</v>
      </c>
      <c r="F66" s="11" t="s">
        <v>481</v>
      </c>
      <c r="G66" s="11" t="s">
        <v>66</v>
      </c>
      <c r="H66" s="11" t="n">
        <v>1</v>
      </c>
      <c r="I66" s="11" t="s">
        <v>18</v>
      </c>
      <c r="J66" s="11" t="s">
        <v>219</v>
      </c>
      <c r="K66" s="11" t="n">
        <v>5</v>
      </c>
      <c r="L66" s="11" t="s">
        <v>482</v>
      </c>
      <c r="M66" s="11" t="s">
        <v>483</v>
      </c>
      <c r="N66" s="11" t="s">
        <v>465</v>
      </c>
      <c r="O66" s="11" t="s">
        <v>466</v>
      </c>
      <c r="P66" s="11" t="s">
        <v>484</v>
      </c>
      <c r="Q66" s="11"/>
      <c r="R66" s="11" t="s">
        <v>60</v>
      </c>
      <c r="S66" s="11"/>
      <c r="T66" s="11"/>
      <c r="U66" s="11"/>
    </row>
    <row r="67" customFormat="false" ht="23.85" hidden="false" customHeight="false" outlineLevel="0" collapsed="false">
      <c r="A67" s="11" t="s">
        <v>485</v>
      </c>
      <c r="B67" s="11" t="s">
        <v>458</v>
      </c>
      <c r="C67" s="12" t="s">
        <v>486</v>
      </c>
      <c r="D67" s="11" t="s">
        <v>126</v>
      </c>
      <c r="E67" s="11" t="s">
        <v>206</v>
      </c>
      <c r="F67" s="11" t="s">
        <v>487</v>
      </c>
      <c r="G67" s="11" t="s">
        <v>66</v>
      </c>
      <c r="H67" s="11" t="n">
        <v>2</v>
      </c>
      <c r="I67" s="11" t="s">
        <v>19</v>
      </c>
      <c r="J67" s="11" t="s">
        <v>121</v>
      </c>
      <c r="K67" s="11" t="n">
        <v>5</v>
      </c>
      <c r="L67" s="11" t="s">
        <v>488</v>
      </c>
      <c r="M67" s="11" t="s">
        <v>489</v>
      </c>
      <c r="N67" s="11" t="s">
        <v>473</v>
      </c>
      <c r="O67" s="11" t="s">
        <v>474</v>
      </c>
      <c r="P67" s="11" t="s">
        <v>490</v>
      </c>
      <c r="Q67" s="11"/>
      <c r="R67" s="11" t="s">
        <v>60</v>
      </c>
      <c r="S67" s="11"/>
      <c r="T67" s="11"/>
      <c r="U67" s="11"/>
    </row>
    <row r="68" customFormat="false" ht="23.85" hidden="false" customHeight="false" outlineLevel="0" collapsed="false">
      <c r="A68" s="11" t="s">
        <v>491</v>
      </c>
      <c r="B68" s="11" t="s">
        <v>458</v>
      </c>
      <c r="C68" s="12" t="s">
        <v>492</v>
      </c>
      <c r="D68" s="11" t="s">
        <v>126</v>
      </c>
      <c r="E68" s="11" t="s">
        <v>206</v>
      </c>
      <c r="F68" s="11" t="s">
        <v>493</v>
      </c>
      <c r="G68" s="11" t="s">
        <v>66</v>
      </c>
      <c r="H68" s="11" t="n">
        <v>2</v>
      </c>
      <c r="I68" s="11" t="s">
        <v>19</v>
      </c>
      <c r="J68" s="11" t="s">
        <v>121</v>
      </c>
      <c r="K68" s="11" t="n">
        <v>2</v>
      </c>
      <c r="L68" s="11" t="s">
        <v>494</v>
      </c>
      <c r="M68" s="11" t="s">
        <v>495</v>
      </c>
      <c r="N68" s="11" t="s">
        <v>158</v>
      </c>
      <c r="O68" s="11" t="s">
        <v>159</v>
      </c>
      <c r="P68" s="11"/>
      <c r="Q68" s="11"/>
      <c r="R68" s="11" t="s">
        <v>60</v>
      </c>
      <c r="S68" s="11"/>
      <c r="T68" s="11"/>
      <c r="U68" s="11"/>
    </row>
    <row r="69" customFormat="false" ht="35.05" hidden="false" customHeight="false" outlineLevel="0" collapsed="false">
      <c r="A69" s="11" t="s">
        <v>496</v>
      </c>
      <c r="B69" s="11" t="s">
        <v>497</v>
      </c>
      <c r="C69" s="12" t="s">
        <v>498</v>
      </c>
      <c r="D69" s="11" t="s">
        <v>126</v>
      </c>
      <c r="E69" s="11" t="s">
        <v>206</v>
      </c>
      <c r="F69" s="11" t="s">
        <v>499</v>
      </c>
      <c r="G69" s="11" t="s">
        <v>66</v>
      </c>
      <c r="H69" s="11" t="n">
        <v>2</v>
      </c>
      <c r="I69" s="11" t="s">
        <v>18</v>
      </c>
      <c r="J69" s="11" t="s">
        <v>219</v>
      </c>
      <c r="K69" s="11" t="n">
        <v>5</v>
      </c>
      <c r="L69" s="11" t="s">
        <v>500</v>
      </c>
      <c r="M69" s="11" t="s">
        <v>501</v>
      </c>
      <c r="N69" s="11" t="s">
        <v>165</v>
      </c>
      <c r="O69" s="11" t="s">
        <v>166</v>
      </c>
      <c r="P69" s="11"/>
      <c r="Q69" s="11"/>
      <c r="R69" s="11" t="s">
        <v>60</v>
      </c>
      <c r="S69" s="11"/>
      <c r="T69" s="11"/>
      <c r="U69" s="11" t="s">
        <v>502</v>
      </c>
    </row>
    <row r="70" customFormat="false" ht="23.85" hidden="false" customHeight="false" outlineLevel="0" collapsed="false">
      <c r="A70" s="11" t="s">
        <v>434</v>
      </c>
      <c r="B70" s="11" t="s">
        <v>497</v>
      </c>
      <c r="C70" s="12" t="s">
        <v>435</v>
      </c>
      <c r="D70" s="11" t="s">
        <v>126</v>
      </c>
      <c r="E70" s="11" t="s">
        <v>206</v>
      </c>
      <c r="F70" s="11" t="s">
        <v>503</v>
      </c>
      <c r="G70" s="11" t="s">
        <v>66</v>
      </c>
      <c r="H70" s="11" t="n">
        <v>2</v>
      </c>
      <c r="I70" s="11" t="s">
        <v>18</v>
      </c>
      <c r="J70" s="11" t="s">
        <v>219</v>
      </c>
      <c r="K70" s="11" t="n">
        <v>3</v>
      </c>
      <c r="L70" s="11" t="s">
        <v>504</v>
      </c>
      <c r="M70" s="11" t="s">
        <v>505</v>
      </c>
      <c r="N70" s="11" t="s">
        <v>496</v>
      </c>
      <c r="O70" s="11" t="s">
        <v>498</v>
      </c>
      <c r="P70" s="11"/>
      <c r="Q70" s="11"/>
      <c r="R70" s="11" t="s">
        <v>60</v>
      </c>
      <c r="S70" s="11"/>
      <c r="T70" s="11"/>
      <c r="U70" s="11"/>
    </row>
    <row r="71" customFormat="false" ht="23.85" hidden="false" customHeight="false" outlineLevel="0" collapsed="false">
      <c r="A71" s="11" t="s">
        <v>506</v>
      </c>
      <c r="B71" s="11" t="s">
        <v>497</v>
      </c>
      <c r="C71" s="12" t="s">
        <v>507</v>
      </c>
      <c r="D71" s="11" t="s">
        <v>126</v>
      </c>
      <c r="E71" s="11" t="s">
        <v>206</v>
      </c>
      <c r="F71" s="11" t="s">
        <v>508</v>
      </c>
      <c r="G71" s="11" t="s">
        <v>66</v>
      </c>
      <c r="H71" s="11" t="n">
        <v>2</v>
      </c>
      <c r="I71" s="11" t="s">
        <v>19</v>
      </c>
      <c r="J71" s="11" t="s">
        <v>121</v>
      </c>
      <c r="K71" s="11" t="n">
        <v>3</v>
      </c>
      <c r="L71" s="11" t="s">
        <v>509</v>
      </c>
      <c r="M71" s="11" t="s">
        <v>510</v>
      </c>
      <c r="N71" s="11" t="s">
        <v>90</v>
      </c>
      <c r="O71" s="11" t="s">
        <v>91</v>
      </c>
      <c r="P71" s="11"/>
      <c r="Q71" s="11"/>
      <c r="R71" s="11" t="s">
        <v>60</v>
      </c>
      <c r="S71" s="11"/>
      <c r="T71" s="11"/>
      <c r="U71" s="11"/>
    </row>
    <row r="72" customFormat="false" ht="23.85" hidden="false" customHeight="false" outlineLevel="0" collapsed="false">
      <c r="A72" s="11" t="s">
        <v>511</v>
      </c>
      <c r="B72" s="11" t="s">
        <v>497</v>
      </c>
      <c r="C72" s="12" t="s">
        <v>512</v>
      </c>
      <c r="D72" s="11" t="s">
        <v>126</v>
      </c>
      <c r="E72" s="11" t="s">
        <v>206</v>
      </c>
      <c r="F72" s="11" t="s">
        <v>513</v>
      </c>
      <c r="G72" s="11" t="s">
        <v>66</v>
      </c>
      <c r="H72" s="11" t="n">
        <v>2</v>
      </c>
      <c r="I72" s="11" t="s">
        <v>20</v>
      </c>
      <c r="J72" s="11" t="s">
        <v>341</v>
      </c>
      <c r="K72" s="11" t="n">
        <v>5</v>
      </c>
      <c r="L72" s="11" t="s">
        <v>514</v>
      </c>
      <c r="M72" s="11" t="s">
        <v>515</v>
      </c>
      <c r="N72" s="11" t="s">
        <v>359</v>
      </c>
      <c r="O72" s="11" t="s">
        <v>360</v>
      </c>
      <c r="P72" s="11" t="s">
        <v>516</v>
      </c>
      <c r="Q72" s="11"/>
      <c r="R72" s="11" t="s">
        <v>60</v>
      </c>
      <c r="S72" s="11"/>
      <c r="T72" s="11"/>
      <c r="U72" s="11"/>
    </row>
    <row r="73" customFormat="false" ht="23.85" hidden="false" customHeight="false" outlineLevel="0" collapsed="false">
      <c r="A73" s="11" t="s">
        <v>517</v>
      </c>
      <c r="B73" s="11" t="s">
        <v>497</v>
      </c>
      <c r="C73" s="12" t="s">
        <v>518</v>
      </c>
      <c r="D73" s="11" t="s">
        <v>126</v>
      </c>
      <c r="E73" s="11" t="s">
        <v>206</v>
      </c>
      <c r="F73" s="11" t="s">
        <v>519</v>
      </c>
      <c r="G73" s="11" t="s">
        <v>66</v>
      </c>
      <c r="H73" s="11" t="n">
        <v>2</v>
      </c>
      <c r="I73" s="11" t="s">
        <v>18</v>
      </c>
      <c r="J73" s="11" t="s">
        <v>219</v>
      </c>
      <c r="K73" s="11" t="n">
        <v>5</v>
      </c>
      <c r="L73" s="11" t="s">
        <v>520</v>
      </c>
      <c r="M73" s="11" t="s">
        <v>521</v>
      </c>
      <c r="N73" s="11"/>
      <c r="O73" s="11"/>
      <c r="P73" s="11" t="s">
        <v>522</v>
      </c>
      <c r="Q73" s="11"/>
      <c r="R73" s="11" t="s">
        <v>60</v>
      </c>
      <c r="S73" s="11"/>
      <c r="T73" s="11"/>
      <c r="U73" s="11" t="s">
        <v>523</v>
      </c>
    </row>
    <row r="74" customFormat="false" ht="35.05" hidden="false" customHeight="false" outlineLevel="0" collapsed="false">
      <c r="A74" s="11" t="s">
        <v>524</v>
      </c>
      <c r="B74" s="11" t="s">
        <v>525</v>
      </c>
      <c r="C74" s="12" t="s">
        <v>526</v>
      </c>
      <c r="D74" s="11" t="s">
        <v>126</v>
      </c>
      <c r="E74" s="11" t="s">
        <v>116</v>
      </c>
      <c r="F74" s="11" t="s">
        <v>527</v>
      </c>
      <c r="G74" s="11" t="s">
        <v>528</v>
      </c>
      <c r="H74" s="11" t="n">
        <v>3</v>
      </c>
      <c r="I74" s="11" t="s">
        <v>18</v>
      </c>
      <c r="J74" s="11" t="s">
        <v>219</v>
      </c>
      <c r="K74" s="11" t="n">
        <v>8</v>
      </c>
      <c r="L74" s="11" t="s">
        <v>529</v>
      </c>
      <c r="M74" s="11" t="s">
        <v>530</v>
      </c>
      <c r="N74" s="11" t="s">
        <v>165</v>
      </c>
      <c r="O74" s="11" t="s">
        <v>166</v>
      </c>
      <c r="P74" s="11" t="s">
        <v>531</v>
      </c>
      <c r="Q74" s="11"/>
      <c r="R74" s="11" t="s">
        <v>60</v>
      </c>
      <c r="S74" s="11"/>
      <c r="T74" s="11"/>
      <c r="U74" s="11"/>
    </row>
    <row r="75" customFormat="false" ht="23.85" hidden="false" customHeight="false" outlineLevel="0" collapsed="false">
      <c r="A75" s="11" t="s">
        <v>532</v>
      </c>
      <c r="B75" s="11" t="s">
        <v>525</v>
      </c>
      <c r="C75" s="12" t="s">
        <v>533</v>
      </c>
      <c r="D75" s="11" t="s">
        <v>126</v>
      </c>
      <c r="E75" s="11" t="s">
        <v>116</v>
      </c>
      <c r="F75" s="11" t="s">
        <v>534</v>
      </c>
      <c r="G75" s="11" t="s">
        <v>528</v>
      </c>
      <c r="H75" s="11" t="n">
        <v>3</v>
      </c>
      <c r="I75" s="11" t="s">
        <v>18</v>
      </c>
      <c r="J75" s="11" t="s">
        <v>219</v>
      </c>
      <c r="K75" s="11" t="n">
        <v>8</v>
      </c>
      <c r="L75" s="11" t="s">
        <v>535</v>
      </c>
      <c r="M75" s="11" t="s">
        <v>536</v>
      </c>
      <c r="N75" s="11" t="s">
        <v>524</v>
      </c>
      <c r="O75" s="11" t="s">
        <v>526</v>
      </c>
      <c r="P75" s="11"/>
      <c r="Q75" s="11"/>
      <c r="R75" s="11" t="s">
        <v>60</v>
      </c>
      <c r="S75" s="11"/>
      <c r="T75" s="11"/>
      <c r="U75" s="11"/>
    </row>
    <row r="76" customFormat="false" ht="23.85" hidden="false" customHeight="false" outlineLevel="0" collapsed="false">
      <c r="A76" s="11" t="s">
        <v>537</v>
      </c>
      <c r="B76" s="11" t="s">
        <v>525</v>
      </c>
      <c r="C76" s="12" t="s">
        <v>538</v>
      </c>
      <c r="D76" s="11" t="s">
        <v>126</v>
      </c>
      <c r="E76" s="11" t="s">
        <v>116</v>
      </c>
      <c r="F76" s="11" t="s">
        <v>539</v>
      </c>
      <c r="G76" s="11" t="s">
        <v>528</v>
      </c>
      <c r="H76" s="11" t="n">
        <v>3</v>
      </c>
      <c r="I76" s="11" t="s">
        <v>18</v>
      </c>
      <c r="J76" s="11" t="s">
        <v>219</v>
      </c>
      <c r="K76" s="11" t="n">
        <v>5</v>
      </c>
      <c r="L76" s="11" t="s">
        <v>540</v>
      </c>
      <c r="M76" s="11" t="s">
        <v>541</v>
      </c>
      <c r="N76" s="11" t="s">
        <v>524</v>
      </c>
      <c r="O76" s="11" t="s">
        <v>526</v>
      </c>
      <c r="P76" s="11"/>
      <c r="Q76" s="11"/>
      <c r="R76" s="11" t="s">
        <v>60</v>
      </c>
      <c r="S76" s="11"/>
      <c r="T76" s="11"/>
      <c r="U76" s="11"/>
    </row>
    <row r="77" customFormat="false" ht="23.85" hidden="false" customHeight="false" outlineLevel="0" collapsed="false">
      <c r="A77" s="11" t="s">
        <v>542</v>
      </c>
      <c r="B77" s="11" t="s">
        <v>525</v>
      </c>
      <c r="C77" s="12" t="s">
        <v>543</v>
      </c>
      <c r="D77" s="11" t="s">
        <v>126</v>
      </c>
      <c r="E77" s="11" t="s">
        <v>116</v>
      </c>
      <c r="F77" s="11" t="s">
        <v>544</v>
      </c>
      <c r="G77" s="11" t="s">
        <v>528</v>
      </c>
      <c r="H77" s="11" t="n">
        <v>3</v>
      </c>
      <c r="I77" s="11" t="s">
        <v>19</v>
      </c>
      <c r="J77" s="11" t="s">
        <v>121</v>
      </c>
      <c r="K77" s="11" t="n">
        <v>8</v>
      </c>
      <c r="L77" s="11" t="s">
        <v>545</v>
      </c>
      <c r="M77" s="11" t="s">
        <v>546</v>
      </c>
      <c r="N77" s="11" t="s">
        <v>524</v>
      </c>
      <c r="O77" s="11" t="s">
        <v>526</v>
      </c>
      <c r="P77" s="11"/>
      <c r="Q77" s="11"/>
      <c r="R77" s="11" t="s">
        <v>60</v>
      </c>
      <c r="S77" s="11"/>
      <c r="T77" s="11"/>
      <c r="U77" s="11"/>
    </row>
    <row r="78" customFormat="false" ht="23.85" hidden="false" customHeight="false" outlineLevel="0" collapsed="false">
      <c r="A78" s="11" t="s">
        <v>547</v>
      </c>
      <c r="B78" s="11" t="s">
        <v>525</v>
      </c>
      <c r="C78" s="12" t="s">
        <v>548</v>
      </c>
      <c r="D78" s="11" t="s">
        <v>126</v>
      </c>
      <c r="E78" s="11" t="s">
        <v>116</v>
      </c>
      <c r="F78" s="11" t="s">
        <v>549</v>
      </c>
      <c r="G78" s="11" t="s">
        <v>528</v>
      </c>
      <c r="H78" s="11" t="n">
        <v>3</v>
      </c>
      <c r="I78" s="11" t="s">
        <v>18</v>
      </c>
      <c r="J78" s="11" t="s">
        <v>219</v>
      </c>
      <c r="K78" s="11" t="n">
        <v>5</v>
      </c>
      <c r="L78" s="11" t="s">
        <v>550</v>
      </c>
      <c r="M78" s="11" t="s">
        <v>551</v>
      </c>
      <c r="N78" s="11" t="s">
        <v>90</v>
      </c>
      <c r="O78" s="11" t="s">
        <v>91</v>
      </c>
      <c r="P78" s="11"/>
      <c r="Q78" s="11"/>
      <c r="R78" s="11" t="s">
        <v>60</v>
      </c>
      <c r="S78" s="11"/>
      <c r="T78" s="11"/>
      <c r="U78" s="11"/>
    </row>
    <row r="79" customFormat="false" ht="23.85" hidden="false" customHeight="false" outlineLevel="0" collapsed="false">
      <c r="A79" s="11" t="s">
        <v>552</v>
      </c>
      <c r="B79" s="11" t="s">
        <v>525</v>
      </c>
      <c r="C79" s="12" t="s">
        <v>553</v>
      </c>
      <c r="D79" s="11" t="s">
        <v>126</v>
      </c>
      <c r="E79" s="11" t="s">
        <v>116</v>
      </c>
      <c r="F79" s="11" t="s">
        <v>554</v>
      </c>
      <c r="G79" s="11" t="s">
        <v>528</v>
      </c>
      <c r="H79" s="11" t="n">
        <v>3</v>
      </c>
      <c r="I79" s="11" t="s">
        <v>19</v>
      </c>
      <c r="J79" s="11" t="s">
        <v>121</v>
      </c>
      <c r="K79" s="11" t="n">
        <v>8</v>
      </c>
      <c r="L79" s="11" t="s">
        <v>555</v>
      </c>
      <c r="M79" s="11" t="s">
        <v>556</v>
      </c>
      <c r="N79" s="11" t="s">
        <v>524</v>
      </c>
      <c r="O79" s="11" t="s">
        <v>526</v>
      </c>
      <c r="P79" s="11"/>
      <c r="Q79" s="11"/>
      <c r="R79" s="11" t="s">
        <v>60</v>
      </c>
      <c r="S79" s="11"/>
      <c r="T79" s="11"/>
      <c r="U79" s="11"/>
    </row>
    <row r="80" customFormat="false" ht="23.85" hidden="false" customHeight="false" outlineLevel="0" collapsed="false">
      <c r="A80" s="11" t="s">
        <v>557</v>
      </c>
      <c r="B80" s="11" t="s">
        <v>558</v>
      </c>
      <c r="C80" s="12" t="s">
        <v>559</v>
      </c>
      <c r="D80" s="11" t="s">
        <v>126</v>
      </c>
      <c r="E80" s="11" t="s">
        <v>116</v>
      </c>
      <c r="F80" s="11" t="s">
        <v>560</v>
      </c>
      <c r="G80" s="11" t="s">
        <v>561</v>
      </c>
      <c r="H80" s="11" t="n">
        <v>2</v>
      </c>
      <c r="I80" s="11" t="s">
        <v>18</v>
      </c>
      <c r="J80" s="11" t="s">
        <v>219</v>
      </c>
      <c r="K80" s="11" t="n">
        <v>5</v>
      </c>
      <c r="L80" s="11" t="s">
        <v>562</v>
      </c>
      <c r="M80" s="11" t="s">
        <v>563</v>
      </c>
      <c r="N80" s="11" t="s">
        <v>564</v>
      </c>
      <c r="O80" s="11" t="s">
        <v>565</v>
      </c>
      <c r="P80" s="11"/>
      <c r="Q80" s="11"/>
      <c r="R80" s="11" t="s">
        <v>60</v>
      </c>
      <c r="S80" s="11"/>
      <c r="T80" s="11"/>
      <c r="U80" s="11"/>
    </row>
    <row r="81" customFormat="false" ht="35.05" hidden="false" customHeight="false" outlineLevel="0" collapsed="false">
      <c r="A81" s="11" t="s">
        <v>566</v>
      </c>
      <c r="B81" s="11" t="s">
        <v>558</v>
      </c>
      <c r="C81" s="12" t="s">
        <v>567</v>
      </c>
      <c r="D81" s="11" t="s">
        <v>126</v>
      </c>
      <c r="E81" s="11" t="s">
        <v>116</v>
      </c>
      <c r="F81" s="11" t="s">
        <v>568</v>
      </c>
      <c r="G81" s="11" t="s">
        <v>569</v>
      </c>
      <c r="H81" s="11" t="n">
        <v>1</v>
      </c>
      <c r="I81" s="11" t="s">
        <v>18</v>
      </c>
      <c r="J81" s="11" t="s">
        <v>219</v>
      </c>
      <c r="K81" s="11" t="n">
        <v>8</v>
      </c>
      <c r="L81" s="11" t="s">
        <v>570</v>
      </c>
      <c r="M81" s="11" t="s">
        <v>571</v>
      </c>
      <c r="N81" s="11" t="s">
        <v>572</v>
      </c>
      <c r="O81" s="11" t="s">
        <v>573</v>
      </c>
      <c r="P81" s="11"/>
      <c r="Q81" s="11"/>
      <c r="R81" s="11" t="s">
        <v>60</v>
      </c>
      <c r="S81" s="11"/>
      <c r="T81" s="11"/>
      <c r="U81" s="11"/>
    </row>
    <row r="82" customFormat="false" ht="23.85" hidden="false" customHeight="false" outlineLevel="0" collapsed="false">
      <c r="A82" s="11" t="s">
        <v>574</v>
      </c>
      <c r="B82" s="11" t="s">
        <v>558</v>
      </c>
      <c r="C82" s="12" t="s">
        <v>575</v>
      </c>
      <c r="D82" s="11" t="s">
        <v>126</v>
      </c>
      <c r="E82" s="11" t="s">
        <v>116</v>
      </c>
      <c r="F82" s="11" t="s">
        <v>576</v>
      </c>
      <c r="G82" s="11" t="s">
        <v>569</v>
      </c>
      <c r="H82" s="11" t="n">
        <v>2</v>
      </c>
      <c r="I82" s="11" t="s">
        <v>18</v>
      </c>
      <c r="J82" s="11" t="s">
        <v>219</v>
      </c>
      <c r="K82" s="11" t="n">
        <v>8</v>
      </c>
      <c r="L82" s="11" t="s">
        <v>577</v>
      </c>
      <c r="M82" s="11" t="s">
        <v>578</v>
      </c>
      <c r="N82" s="11" t="s">
        <v>326</v>
      </c>
      <c r="O82" s="11" t="s">
        <v>327</v>
      </c>
      <c r="P82" s="11"/>
      <c r="Q82" s="11"/>
      <c r="R82" s="11" t="s">
        <v>60</v>
      </c>
      <c r="S82" s="11"/>
      <c r="T82" s="11"/>
      <c r="U82" s="11"/>
    </row>
    <row r="83" customFormat="false" ht="23.85" hidden="false" customHeight="false" outlineLevel="0" collapsed="false">
      <c r="A83" s="11" t="s">
        <v>579</v>
      </c>
      <c r="B83" s="11" t="s">
        <v>558</v>
      </c>
      <c r="C83" s="12" t="s">
        <v>580</v>
      </c>
      <c r="D83" s="11" t="s">
        <v>126</v>
      </c>
      <c r="E83" s="11" t="s">
        <v>116</v>
      </c>
      <c r="F83" s="11" t="s">
        <v>581</v>
      </c>
      <c r="G83" s="11" t="s">
        <v>569</v>
      </c>
      <c r="H83" s="11" t="n">
        <v>1</v>
      </c>
      <c r="I83" s="11" t="s">
        <v>18</v>
      </c>
      <c r="J83" s="11" t="s">
        <v>219</v>
      </c>
      <c r="K83" s="11" t="n">
        <v>5</v>
      </c>
      <c r="L83" s="11" t="s">
        <v>582</v>
      </c>
      <c r="M83" s="11" t="s">
        <v>583</v>
      </c>
      <c r="N83" s="11" t="s">
        <v>359</v>
      </c>
      <c r="O83" s="11" t="s">
        <v>360</v>
      </c>
      <c r="P83" s="11"/>
      <c r="Q83" s="11"/>
      <c r="R83" s="11" t="s">
        <v>60</v>
      </c>
      <c r="S83" s="11"/>
      <c r="T83" s="11"/>
      <c r="U83" s="11"/>
    </row>
    <row r="84" customFormat="false" ht="23.85" hidden="false" customHeight="false" outlineLevel="0" collapsed="false">
      <c r="A84" s="11" t="s">
        <v>584</v>
      </c>
      <c r="B84" s="11" t="s">
        <v>558</v>
      </c>
      <c r="C84" s="12" t="s">
        <v>585</v>
      </c>
      <c r="D84" s="11" t="s">
        <v>126</v>
      </c>
      <c r="E84" s="11" t="s">
        <v>116</v>
      </c>
      <c r="F84" s="11" t="s">
        <v>586</v>
      </c>
      <c r="G84" s="11" t="s">
        <v>569</v>
      </c>
      <c r="H84" s="11" t="n">
        <v>1</v>
      </c>
      <c r="I84" s="11" t="s">
        <v>18</v>
      </c>
      <c r="J84" s="11" t="s">
        <v>219</v>
      </c>
      <c r="K84" s="11" t="n">
        <v>8</v>
      </c>
      <c r="L84" s="11" t="s">
        <v>587</v>
      </c>
      <c r="M84" s="11" t="s">
        <v>588</v>
      </c>
      <c r="N84" s="11" t="s">
        <v>365</v>
      </c>
      <c r="O84" s="11" t="s">
        <v>366</v>
      </c>
      <c r="P84" s="11"/>
      <c r="Q84" s="11"/>
      <c r="R84" s="11" t="s">
        <v>60</v>
      </c>
      <c r="S84" s="11"/>
      <c r="T84" s="11"/>
      <c r="U84" s="11"/>
    </row>
    <row r="85" customFormat="false" ht="23.85" hidden="false" customHeight="false" outlineLevel="0" collapsed="false">
      <c r="A85" s="11" t="s">
        <v>589</v>
      </c>
      <c r="B85" s="11" t="s">
        <v>558</v>
      </c>
      <c r="C85" s="12" t="s">
        <v>590</v>
      </c>
      <c r="D85" s="11" t="s">
        <v>126</v>
      </c>
      <c r="E85" s="11" t="s">
        <v>116</v>
      </c>
      <c r="F85" s="11" t="s">
        <v>591</v>
      </c>
      <c r="G85" s="11" t="s">
        <v>569</v>
      </c>
      <c r="H85" s="11" t="n">
        <v>1</v>
      </c>
      <c r="I85" s="11" t="s">
        <v>19</v>
      </c>
      <c r="J85" s="11" t="s">
        <v>121</v>
      </c>
      <c r="K85" s="11" t="n">
        <v>3</v>
      </c>
      <c r="L85" s="11" t="s">
        <v>592</v>
      </c>
      <c r="M85" s="11" t="s">
        <v>593</v>
      </c>
      <c r="N85" s="11" t="s">
        <v>184</v>
      </c>
      <c r="O85" s="11" t="s">
        <v>185</v>
      </c>
      <c r="P85" s="11"/>
      <c r="Q85" s="11"/>
      <c r="R85" s="11" t="s">
        <v>60</v>
      </c>
      <c r="S85" s="11"/>
      <c r="T85" s="11"/>
      <c r="U85" s="11"/>
    </row>
    <row r="86" customFormat="false" ht="35.05" hidden="false" customHeight="false" outlineLevel="0" collapsed="false">
      <c r="A86" s="11" t="s">
        <v>594</v>
      </c>
      <c r="B86" s="11" t="s">
        <v>558</v>
      </c>
      <c r="C86" s="12" t="s">
        <v>595</v>
      </c>
      <c r="D86" s="11" t="s">
        <v>126</v>
      </c>
      <c r="E86" s="11" t="s">
        <v>116</v>
      </c>
      <c r="F86" s="11" t="s">
        <v>596</v>
      </c>
      <c r="G86" s="11" t="s">
        <v>569</v>
      </c>
      <c r="H86" s="11" t="n">
        <v>1</v>
      </c>
      <c r="I86" s="11" t="s">
        <v>18</v>
      </c>
      <c r="J86" s="11" t="s">
        <v>219</v>
      </c>
      <c r="K86" s="11" t="n">
        <v>5</v>
      </c>
      <c r="L86" s="11" t="s">
        <v>597</v>
      </c>
      <c r="M86" s="11" t="s">
        <v>598</v>
      </c>
      <c r="N86" s="11" t="s">
        <v>599</v>
      </c>
      <c r="O86" s="11" t="s">
        <v>600</v>
      </c>
      <c r="P86" s="11"/>
      <c r="Q86" s="11"/>
      <c r="R86" s="11" t="s">
        <v>60</v>
      </c>
      <c r="S86" s="11"/>
      <c r="T86" s="11"/>
      <c r="U86" s="11"/>
    </row>
    <row r="87" customFormat="false" ht="23.85" hidden="false" customHeight="false" outlineLevel="0" collapsed="false">
      <c r="A87" s="11" t="s">
        <v>601</v>
      </c>
      <c r="B87" s="11" t="s">
        <v>558</v>
      </c>
      <c r="C87" s="12" t="s">
        <v>602</v>
      </c>
      <c r="D87" s="11" t="s">
        <v>126</v>
      </c>
      <c r="E87" s="11" t="s">
        <v>116</v>
      </c>
      <c r="F87" s="11" t="s">
        <v>603</v>
      </c>
      <c r="G87" s="11" t="s">
        <v>569</v>
      </c>
      <c r="H87" s="11" t="n">
        <v>2</v>
      </c>
      <c r="I87" s="11" t="s">
        <v>18</v>
      </c>
      <c r="J87" s="11" t="s">
        <v>219</v>
      </c>
      <c r="K87" s="11" t="n">
        <v>8</v>
      </c>
      <c r="L87" s="11" t="s">
        <v>604</v>
      </c>
      <c r="M87" s="11" t="s">
        <v>605</v>
      </c>
      <c r="N87" s="11" t="s">
        <v>457</v>
      </c>
      <c r="O87" s="11" t="s">
        <v>459</v>
      </c>
      <c r="P87" s="11"/>
      <c r="Q87" s="11"/>
      <c r="R87" s="11" t="s">
        <v>60</v>
      </c>
      <c r="S87" s="11"/>
      <c r="T87" s="11"/>
      <c r="U87" s="11"/>
    </row>
    <row r="88" customFormat="false" ht="23.85" hidden="false" customHeight="false" outlineLevel="0" collapsed="false">
      <c r="A88" s="11" t="s">
        <v>606</v>
      </c>
      <c r="B88" s="11" t="s">
        <v>558</v>
      </c>
      <c r="C88" s="12" t="s">
        <v>607</v>
      </c>
      <c r="D88" s="11" t="s">
        <v>126</v>
      </c>
      <c r="E88" s="11" t="s">
        <v>116</v>
      </c>
      <c r="F88" s="11" t="s">
        <v>608</v>
      </c>
      <c r="G88" s="11" t="s">
        <v>569</v>
      </c>
      <c r="H88" s="11" t="n">
        <v>2</v>
      </c>
      <c r="I88" s="11" t="s">
        <v>18</v>
      </c>
      <c r="J88" s="11" t="s">
        <v>219</v>
      </c>
      <c r="K88" s="11" t="n">
        <v>8</v>
      </c>
      <c r="L88" s="11" t="s">
        <v>609</v>
      </c>
      <c r="M88" s="11" t="s">
        <v>610</v>
      </c>
      <c r="N88" s="11" t="s">
        <v>611</v>
      </c>
      <c r="O88" s="11" t="s">
        <v>612</v>
      </c>
      <c r="P88" s="11"/>
      <c r="Q88" s="11"/>
      <c r="R88" s="11" t="s">
        <v>60</v>
      </c>
      <c r="S88" s="11"/>
      <c r="T88" s="11"/>
      <c r="U88" s="11"/>
    </row>
    <row r="89" customFormat="false" ht="23.85" hidden="false" customHeight="false" outlineLevel="0" collapsed="false">
      <c r="A89" s="11" t="s">
        <v>613</v>
      </c>
      <c r="B89" s="11" t="s">
        <v>558</v>
      </c>
      <c r="C89" s="12" t="s">
        <v>614</v>
      </c>
      <c r="D89" s="11" t="s">
        <v>126</v>
      </c>
      <c r="E89" s="11" t="s">
        <v>116</v>
      </c>
      <c r="F89" s="11" t="s">
        <v>615</v>
      </c>
      <c r="G89" s="11" t="s">
        <v>569</v>
      </c>
      <c r="H89" s="11" t="n">
        <v>2</v>
      </c>
      <c r="I89" s="11" t="s">
        <v>18</v>
      </c>
      <c r="J89" s="11" t="s">
        <v>219</v>
      </c>
      <c r="K89" s="11" t="n">
        <v>8</v>
      </c>
      <c r="L89" s="11" t="s">
        <v>616</v>
      </c>
      <c r="M89" s="11" t="s">
        <v>617</v>
      </c>
      <c r="N89" s="11" t="s">
        <v>618</v>
      </c>
      <c r="O89" s="11" t="s">
        <v>619</v>
      </c>
      <c r="P89" s="11"/>
      <c r="Q89" s="11"/>
      <c r="R89" s="11" t="s">
        <v>60</v>
      </c>
      <c r="S89" s="11"/>
      <c r="T89" s="11"/>
      <c r="U89" s="11"/>
    </row>
    <row r="90" customFormat="false" ht="35.05" hidden="false" customHeight="false" outlineLevel="0" collapsed="false">
      <c r="A90" s="11" t="s">
        <v>620</v>
      </c>
      <c r="B90" s="11" t="s">
        <v>558</v>
      </c>
      <c r="C90" s="12" t="s">
        <v>621</v>
      </c>
      <c r="D90" s="11" t="s">
        <v>126</v>
      </c>
      <c r="E90" s="11" t="s">
        <v>116</v>
      </c>
      <c r="F90" s="11" t="s">
        <v>622</v>
      </c>
      <c r="G90" s="11" t="s">
        <v>569</v>
      </c>
      <c r="H90" s="11" t="n">
        <v>1</v>
      </c>
      <c r="I90" s="11" t="s">
        <v>18</v>
      </c>
      <c r="J90" s="11" t="s">
        <v>219</v>
      </c>
      <c r="K90" s="11" t="n">
        <v>8</v>
      </c>
      <c r="L90" s="11" t="s">
        <v>623</v>
      </c>
      <c r="M90" s="11" t="s">
        <v>624</v>
      </c>
      <c r="N90" s="11" t="s">
        <v>625</v>
      </c>
      <c r="O90" s="11" t="s">
        <v>626</v>
      </c>
      <c r="P90" s="11"/>
      <c r="Q90" s="11"/>
      <c r="R90" s="11" t="s">
        <v>60</v>
      </c>
      <c r="S90" s="11"/>
      <c r="T90" s="11"/>
      <c r="U90" s="11"/>
    </row>
    <row r="91" customFormat="false" ht="35.05" hidden="false" customHeight="false" outlineLevel="0" collapsed="false">
      <c r="A91" s="11" t="s">
        <v>627</v>
      </c>
      <c r="B91" s="11" t="s">
        <v>628</v>
      </c>
      <c r="C91" s="12" t="s">
        <v>629</v>
      </c>
      <c r="D91" s="11" t="s">
        <v>126</v>
      </c>
      <c r="E91" s="11" t="s">
        <v>116</v>
      </c>
      <c r="F91" s="11" t="s">
        <v>630</v>
      </c>
      <c r="G91" s="11" t="s">
        <v>631</v>
      </c>
      <c r="H91" s="11" t="n">
        <v>3</v>
      </c>
      <c r="I91" s="11" t="s">
        <v>18</v>
      </c>
      <c r="J91" s="11" t="s">
        <v>219</v>
      </c>
      <c r="K91" s="11" t="n">
        <v>5</v>
      </c>
      <c r="L91" s="11" t="s">
        <v>632</v>
      </c>
      <c r="M91" s="11" t="s">
        <v>633</v>
      </c>
      <c r="N91" s="11" t="s">
        <v>634</v>
      </c>
      <c r="O91" s="11" t="s">
        <v>635</v>
      </c>
      <c r="P91" s="11"/>
      <c r="Q91" s="11" t="s">
        <v>636</v>
      </c>
      <c r="R91" s="11" t="s">
        <v>60</v>
      </c>
      <c r="S91" s="11"/>
      <c r="T91" s="11"/>
      <c r="U91" s="11"/>
    </row>
    <row r="92" customFormat="false" ht="23.85" hidden="false" customHeight="false" outlineLevel="0" collapsed="false">
      <c r="A92" s="11" t="s">
        <v>637</v>
      </c>
      <c r="B92" s="11" t="s">
        <v>628</v>
      </c>
      <c r="C92" s="12" t="s">
        <v>638</v>
      </c>
      <c r="D92" s="11" t="s">
        <v>126</v>
      </c>
      <c r="E92" s="11" t="s">
        <v>116</v>
      </c>
      <c r="F92" s="11" t="s">
        <v>639</v>
      </c>
      <c r="G92" s="11" t="s">
        <v>631</v>
      </c>
      <c r="H92" s="11" t="n">
        <v>2</v>
      </c>
      <c r="I92" s="11" t="s">
        <v>18</v>
      </c>
      <c r="J92" s="11" t="s">
        <v>219</v>
      </c>
      <c r="K92" s="11" t="n">
        <v>8</v>
      </c>
      <c r="L92" s="11" t="s">
        <v>640</v>
      </c>
      <c r="M92" s="11" t="s">
        <v>641</v>
      </c>
      <c r="N92" s="11" t="s">
        <v>177</v>
      </c>
      <c r="O92" s="11" t="s">
        <v>178</v>
      </c>
      <c r="P92" s="11" t="s">
        <v>642</v>
      </c>
      <c r="Q92" s="11"/>
      <c r="R92" s="11" t="s">
        <v>60</v>
      </c>
      <c r="S92" s="11"/>
      <c r="T92" s="11"/>
      <c r="U92" s="11"/>
    </row>
    <row r="93" customFormat="false" ht="23.85" hidden="false" customHeight="false" outlineLevel="0" collapsed="false">
      <c r="A93" s="11" t="s">
        <v>643</v>
      </c>
      <c r="B93" s="11" t="s">
        <v>628</v>
      </c>
      <c r="C93" s="12" t="s">
        <v>644</v>
      </c>
      <c r="D93" s="11" t="s">
        <v>126</v>
      </c>
      <c r="E93" s="11" t="s">
        <v>116</v>
      </c>
      <c r="F93" s="11" t="s">
        <v>645</v>
      </c>
      <c r="G93" s="11" t="s">
        <v>631</v>
      </c>
      <c r="H93" s="11" t="n">
        <v>2</v>
      </c>
      <c r="I93" s="11" t="s">
        <v>19</v>
      </c>
      <c r="J93" s="11" t="s">
        <v>121</v>
      </c>
      <c r="K93" s="11" t="n">
        <v>5</v>
      </c>
      <c r="L93" s="11" t="s">
        <v>646</v>
      </c>
      <c r="M93" s="11" t="s">
        <v>647</v>
      </c>
      <c r="N93" s="11" t="s">
        <v>627</v>
      </c>
      <c r="O93" s="11" t="s">
        <v>629</v>
      </c>
      <c r="P93" s="11"/>
      <c r="Q93" s="11"/>
      <c r="R93" s="11" t="s">
        <v>60</v>
      </c>
      <c r="S93" s="11"/>
      <c r="T93" s="11"/>
      <c r="U93" s="11"/>
    </row>
    <row r="94" customFormat="false" ht="23.85" hidden="false" customHeight="false" outlineLevel="0" collapsed="false">
      <c r="A94" s="11" t="s">
        <v>648</v>
      </c>
      <c r="B94" s="11" t="s">
        <v>628</v>
      </c>
      <c r="C94" s="12" t="s">
        <v>649</v>
      </c>
      <c r="D94" s="11" t="s">
        <v>126</v>
      </c>
      <c r="E94" s="11" t="s">
        <v>116</v>
      </c>
      <c r="F94" s="11" t="s">
        <v>650</v>
      </c>
      <c r="G94" s="11" t="s">
        <v>631</v>
      </c>
      <c r="H94" s="11" t="n">
        <v>1</v>
      </c>
      <c r="I94" s="11" t="s">
        <v>19</v>
      </c>
      <c r="J94" s="11" t="s">
        <v>121</v>
      </c>
      <c r="K94" s="11" t="n">
        <v>5</v>
      </c>
      <c r="L94" s="11" t="s">
        <v>651</v>
      </c>
      <c r="M94" s="11" t="s">
        <v>652</v>
      </c>
      <c r="N94" s="11" t="s">
        <v>627</v>
      </c>
      <c r="O94" s="11" t="s">
        <v>629</v>
      </c>
      <c r="P94" s="11"/>
      <c r="Q94" s="11"/>
      <c r="R94" s="11" t="s">
        <v>60</v>
      </c>
      <c r="S94" s="11"/>
      <c r="T94" s="11"/>
      <c r="U94" s="11"/>
    </row>
    <row r="95" customFormat="false" ht="35.05" hidden="false" customHeight="false" outlineLevel="0" collapsed="false">
      <c r="A95" s="11" t="s">
        <v>653</v>
      </c>
      <c r="B95" s="11" t="s">
        <v>628</v>
      </c>
      <c r="C95" s="12" t="s">
        <v>654</v>
      </c>
      <c r="D95" s="11" t="s">
        <v>126</v>
      </c>
      <c r="E95" s="11" t="s">
        <v>116</v>
      </c>
      <c r="F95" s="11" t="s">
        <v>655</v>
      </c>
      <c r="G95" s="11" t="s">
        <v>631</v>
      </c>
      <c r="H95" s="11" t="n">
        <v>1</v>
      </c>
      <c r="I95" s="11" t="s">
        <v>18</v>
      </c>
      <c r="J95" s="11" t="s">
        <v>219</v>
      </c>
      <c r="K95" s="11" t="n">
        <v>8</v>
      </c>
      <c r="L95" s="11" t="s">
        <v>656</v>
      </c>
      <c r="M95" s="11" t="s">
        <v>657</v>
      </c>
      <c r="N95" s="11" t="s">
        <v>627</v>
      </c>
      <c r="O95" s="11" t="s">
        <v>629</v>
      </c>
      <c r="P95" s="11" t="s">
        <v>658</v>
      </c>
      <c r="Q95" s="11"/>
      <c r="R95" s="11" t="s">
        <v>60</v>
      </c>
      <c r="S95" s="11"/>
      <c r="T95" s="11"/>
      <c r="U95" s="11"/>
    </row>
    <row r="96" customFormat="false" ht="23.85" hidden="false" customHeight="false" outlineLevel="0" collapsed="false">
      <c r="A96" s="11" t="s">
        <v>659</v>
      </c>
      <c r="B96" s="11" t="s">
        <v>628</v>
      </c>
      <c r="C96" s="12" t="s">
        <v>660</v>
      </c>
      <c r="D96" s="11" t="s">
        <v>126</v>
      </c>
      <c r="E96" s="11" t="s">
        <v>116</v>
      </c>
      <c r="F96" s="11" t="s">
        <v>661</v>
      </c>
      <c r="G96" s="11" t="s">
        <v>631</v>
      </c>
      <c r="H96" s="11" t="n">
        <v>1</v>
      </c>
      <c r="I96" s="11" t="s">
        <v>18</v>
      </c>
      <c r="J96" s="11" t="s">
        <v>219</v>
      </c>
      <c r="K96" s="11" t="n">
        <v>8</v>
      </c>
      <c r="L96" s="11" t="s">
        <v>662</v>
      </c>
      <c r="M96" s="11" t="s">
        <v>663</v>
      </c>
      <c r="N96" s="11" t="s">
        <v>394</v>
      </c>
      <c r="O96" s="11" t="s">
        <v>395</v>
      </c>
      <c r="P96" s="11" t="s">
        <v>664</v>
      </c>
      <c r="Q96" s="11"/>
      <c r="R96" s="11" t="s">
        <v>60</v>
      </c>
      <c r="S96" s="11"/>
      <c r="T96" s="11"/>
      <c r="U96" s="11"/>
    </row>
    <row r="97" customFormat="false" ht="23.85" hidden="false" customHeight="false" outlineLevel="0" collapsed="false">
      <c r="A97" s="11" t="s">
        <v>665</v>
      </c>
      <c r="B97" s="11" t="s">
        <v>628</v>
      </c>
      <c r="C97" s="12" t="s">
        <v>666</v>
      </c>
      <c r="D97" s="11" t="s">
        <v>126</v>
      </c>
      <c r="E97" s="11" t="s">
        <v>116</v>
      </c>
      <c r="F97" s="11" t="s">
        <v>667</v>
      </c>
      <c r="G97" s="11" t="s">
        <v>631</v>
      </c>
      <c r="H97" s="11" t="n">
        <v>3</v>
      </c>
      <c r="I97" s="11" t="s">
        <v>18</v>
      </c>
      <c r="J97" s="11" t="s">
        <v>219</v>
      </c>
      <c r="K97" s="11" t="n">
        <v>3</v>
      </c>
      <c r="L97" s="11" t="s">
        <v>668</v>
      </c>
      <c r="M97" s="11" t="s">
        <v>669</v>
      </c>
      <c r="N97" s="11" t="s">
        <v>627</v>
      </c>
      <c r="O97" s="11" t="s">
        <v>629</v>
      </c>
      <c r="P97" s="11"/>
      <c r="Q97" s="11"/>
      <c r="R97" s="11" t="s">
        <v>60</v>
      </c>
      <c r="S97" s="11"/>
      <c r="T97" s="11"/>
      <c r="U97" s="11"/>
    </row>
    <row r="98" customFormat="false" ht="23.85" hidden="false" customHeight="false" outlineLevel="0" collapsed="false">
      <c r="A98" s="11" t="s">
        <v>670</v>
      </c>
      <c r="B98" s="11" t="s">
        <v>628</v>
      </c>
      <c r="C98" s="12" t="s">
        <v>671</v>
      </c>
      <c r="D98" s="11" t="s">
        <v>126</v>
      </c>
      <c r="E98" s="11" t="s">
        <v>116</v>
      </c>
      <c r="F98" s="11" t="s">
        <v>672</v>
      </c>
      <c r="G98" s="11" t="s">
        <v>631</v>
      </c>
      <c r="H98" s="11" t="n">
        <v>1</v>
      </c>
      <c r="I98" s="11" t="s">
        <v>19</v>
      </c>
      <c r="J98" s="11" t="s">
        <v>121</v>
      </c>
      <c r="K98" s="11" t="n">
        <v>5</v>
      </c>
      <c r="L98" s="11" t="s">
        <v>673</v>
      </c>
      <c r="M98" s="11" t="s">
        <v>674</v>
      </c>
      <c r="N98" s="11" t="s">
        <v>627</v>
      </c>
      <c r="O98" s="11" t="s">
        <v>629</v>
      </c>
      <c r="P98" s="11"/>
      <c r="Q98" s="11"/>
      <c r="R98" s="11" t="s">
        <v>60</v>
      </c>
      <c r="S98" s="11"/>
      <c r="T98" s="11"/>
      <c r="U98" s="11"/>
    </row>
    <row r="99" customFormat="false" ht="23.85" hidden="false" customHeight="false" outlineLevel="0" collapsed="false">
      <c r="A99" s="11" t="s">
        <v>675</v>
      </c>
      <c r="B99" s="11" t="s">
        <v>628</v>
      </c>
      <c r="C99" s="12" t="s">
        <v>676</v>
      </c>
      <c r="D99" s="11" t="s">
        <v>126</v>
      </c>
      <c r="E99" s="11" t="s">
        <v>116</v>
      </c>
      <c r="F99" s="11" t="s">
        <v>677</v>
      </c>
      <c r="G99" s="11" t="s">
        <v>631</v>
      </c>
      <c r="H99" s="11" t="n">
        <v>2</v>
      </c>
      <c r="I99" s="11" t="s">
        <v>20</v>
      </c>
      <c r="J99" s="11" t="s">
        <v>341</v>
      </c>
      <c r="K99" s="11" t="n">
        <v>8</v>
      </c>
      <c r="L99" s="11" t="s">
        <v>678</v>
      </c>
      <c r="M99" s="11" t="s">
        <v>679</v>
      </c>
      <c r="N99" s="11" t="s">
        <v>648</v>
      </c>
      <c r="O99" s="11" t="s">
        <v>649</v>
      </c>
      <c r="P99" s="11"/>
      <c r="Q99" s="11"/>
      <c r="R99" s="11" t="s">
        <v>60</v>
      </c>
      <c r="S99" s="11"/>
      <c r="T99" s="11"/>
      <c r="U99" s="11"/>
    </row>
    <row r="100" customFormat="false" ht="15" hidden="false" customHeight="false" outlineLevel="0" collapsed="false">
      <c r="A100" s="11" t="s">
        <v>680</v>
      </c>
      <c r="B100" s="11" t="s">
        <v>628</v>
      </c>
      <c r="C100" s="12" t="s">
        <v>681</v>
      </c>
      <c r="D100" s="11" t="s">
        <v>126</v>
      </c>
      <c r="E100" s="11" t="s">
        <v>116</v>
      </c>
      <c r="F100" s="11" t="s">
        <v>682</v>
      </c>
      <c r="G100" s="11" t="s">
        <v>631</v>
      </c>
      <c r="H100" s="11" t="n">
        <v>3</v>
      </c>
      <c r="I100" s="11" t="s">
        <v>20</v>
      </c>
      <c r="J100" s="11" t="s">
        <v>341</v>
      </c>
      <c r="K100" s="11" t="n">
        <v>3</v>
      </c>
      <c r="L100" s="11" t="s">
        <v>683</v>
      </c>
      <c r="M100" s="11" t="s">
        <v>684</v>
      </c>
      <c r="N100" s="11" t="s">
        <v>627</v>
      </c>
      <c r="O100" s="11" t="s">
        <v>629</v>
      </c>
      <c r="P100" s="11"/>
      <c r="Q100" s="11"/>
      <c r="R100" s="11" t="s">
        <v>60</v>
      </c>
      <c r="S100" s="11"/>
      <c r="T100" s="11"/>
      <c r="U100" s="11"/>
    </row>
    <row r="101" customFormat="false" ht="23.85" hidden="false" customHeight="false" outlineLevel="0" collapsed="false">
      <c r="A101" s="11" t="s">
        <v>685</v>
      </c>
      <c r="B101" s="11" t="s">
        <v>628</v>
      </c>
      <c r="C101" s="12" t="s">
        <v>686</v>
      </c>
      <c r="D101" s="11" t="s">
        <v>126</v>
      </c>
      <c r="E101" s="11" t="s">
        <v>116</v>
      </c>
      <c r="F101" s="11" t="s">
        <v>687</v>
      </c>
      <c r="G101" s="11" t="s">
        <v>631</v>
      </c>
      <c r="H101" s="11" t="n">
        <v>1</v>
      </c>
      <c r="I101" s="11" t="s">
        <v>19</v>
      </c>
      <c r="J101" s="11" t="s">
        <v>121</v>
      </c>
      <c r="K101" s="11" t="n">
        <v>5</v>
      </c>
      <c r="L101" s="11" t="s">
        <v>688</v>
      </c>
      <c r="M101" s="11" t="s">
        <v>689</v>
      </c>
      <c r="N101" s="11" t="s">
        <v>659</v>
      </c>
      <c r="O101" s="11" t="s">
        <v>660</v>
      </c>
      <c r="P101" s="11"/>
      <c r="Q101" s="11"/>
      <c r="R101" s="11" t="s">
        <v>60</v>
      </c>
      <c r="S101" s="11"/>
      <c r="T101" s="11"/>
      <c r="U101" s="11"/>
    </row>
    <row r="102" customFormat="false" ht="23.85" hidden="false" customHeight="false" outlineLevel="0" collapsed="false">
      <c r="A102" s="11" t="s">
        <v>690</v>
      </c>
      <c r="B102" s="11" t="s">
        <v>628</v>
      </c>
      <c r="C102" s="12" t="s">
        <v>691</v>
      </c>
      <c r="D102" s="11" t="s">
        <v>126</v>
      </c>
      <c r="E102" s="11" t="s">
        <v>116</v>
      </c>
      <c r="F102" s="11" t="s">
        <v>692</v>
      </c>
      <c r="G102" s="11" t="s">
        <v>631</v>
      </c>
      <c r="H102" s="11" t="n">
        <v>3</v>
      </c>
      <c r="I102" s="11" t="s">
        <v>19</v>
      </c>
      <c r="J102" s="11" t="s">
        <v>121</v>
      </c>
      <c r="K102" s="11" t="n">
        <v>3</v>
      </c>
      <c r="L102" s="11" t="s">
        <v>693</v>
      </c>
      <c r="M102" s="11" t="s">
        <v>694</v>
      </c>
      <c r="N102" s="11" t="s">
        <v>627</v>
      </c>
      <c r="O102" s="11" t="s">
        <v>629</v>
      </c>
      <c r="P102" s="11"/>
      <c r="Q102" s="11"/>
      <c r="R102" s="11" t="s">
        <v>60</v>
      </c>
      <c r="S102" s="11"/>
      <c r="T102" s="11"/>
      <c r="U102" s="11"/>
    </row>
    <row r="103" customFormat="false" ht="23.85" hidden="false" customHeight="false" outlineLevel="0" collapsed="false">
      <c r="A103" s="11" t="s">
        <v>695</v>
      </c>
      <c r="B103" s="11" t="s">
        <v>628</v>
      </c>
      <c r="C103" s="12" t="s">
        <v>696</v>
      </c>
      <c r="D103" s="11" t="s">
        <v>126</v>
      </c>
      <c r="E103" s="11" t="s">
        <v>116</v>
      </c>
      <c r="F103" s="11" t="s">
        <v>697</v>
      </c>
      <c r="G103" s="11" t="s">
        <v>631</v>
      </c>
      <c r="H103" s="11" t="n">
        <v>3</v>
      </c>
      <c r="I103" s="11" t="s">
        <v>20</v>
      </c>
      <c r="J103" s="11" t="s">
        <v>341</v>
      </c>
      <c r="K103" s="11" t="n">
        <v>5</v>
      </c>
      <c r="L103" s="11" t="s">
        <v>698</v>
      </c>
      <c r="M103" s="11" t="s">
        <v>699</v>
      </c>
      <c r="N103" s="11" t="s">
        <v>627</v>
      </c>
      <c r="O103" s="11" t="s">
        <v>629</v>
      </c>
      <c r="P103" s="11"/>
      <c r="Q103" s="11"/>
      <c r="R103" s="11" t="s">
        <v>60</v>
      </c>
      <c r="S103" s="11"/>
      <c r="T103" s="11"/>
      <c r="U103" s="11"/>
    </row>
    <row r="104" customFormat="false" ht="23.85" hidden="false" customHeight="false" outlineLevel="0" collapsed="false">
      <c r="A104" s="11" t="s">
        <v>700</v>
      </c>
      <c r="B104" s="11" t="s">
        <v>628</v>
      </c>
      <c r="C104" s="12" t="s">
        <v>701</v>
      </c>
      <c r="D104" s="11" t="s">
        <v>126</v>
      </c>
      <c r="E104" s="11" t="s">
        <v>116</v>
      </c>
      <c r="F104" s="11" t="s">
        <v>702</v>
      </c>
      <c r="G104" s="11" t="s">
        <v>631</v>
      </c>
      <c r="H104" s="11" t="n">
        <v>3</v>
      </c>
      <c r="I104" s="11" t="s">
        <v>19</v>
      </c>
      <c r="J104" s="11" t="s">
        <v>121</v>
      </c>
      <c r="K104" s="11" t="n">
        <v>5</v>
      </c>
      <c r="L104" s="11" t="s">
        <v>703</v>
      </c>
      <c r="M104" s="11" t="s">
        <v>704</v>
      </c>
      <c r="N104" s="11" t="s">
        <v>627</v>
      </c>
      <c r="O104" s="11" t="s">
        <v>629</v>
      </c>
      <c r="P104" s="11"/>
      <c r="Q104" s="11"/>
      <c r="R104" s="11" t="s">
        <v>60</v>
      </c>
      <c r="S104" s="11"/>
      <c r="T104" s="11"/>
      <c r="U104" s="11"/>
    </row>
    <row r="105" customFormat="false" ht="23.85" hidden="false" customHeight="false" outlineLevel="0" collapsed="false">
      <c r="A105" s="11" t="s">
        <v>705</v>
      </c>
      <c r="B105" s="11" t="s">
        <v>628</v>
      </c>
      <c r="C105" s="12" t="s">
        <v>706</v>
      </c>
      <c r="D105" s="11" t="s">
        <v>126</v>
      </c>
      <c r="E105" s="11" t="s">
        <v>116</v>
      </c>
      <c r="F105" s="11" t="s">
        <v>707</v>
      </c>
      <c r="G105" s="11" t="s">
        <v>631</v>
      </c>
      <c r="H105" s="11" t="n">
        <v>3</v>
      </c>
      <c r="I105" s="11" t="s">
        <v>19</v>
      </c>
      <c r="J105" s="11" t="s">
        <v>121</v>
      </c>
      <c r="K105" s="11" t="n">
        <v>5</v>
      </c>
      <c r="L105" s="11" t="s">
        <v>708</v>
      </c>
      <c r="M105" s="11" t="s">
        <v>709</v>
      </c>
      <c r="N105" s="11"/>
      <c r="O105" s="11"/>
      <c r="P105" s="11" t="s">
        <v>710</v>
      </c>
      <c r="Q105" s="11"/>
      <c r="R105" s="11" t="s">
        <v>60</v>
      </c>
      <c r="S105" s="11"/>
      <c r="T105" s="11"/>
      <c r="U105" s="11" t="s">
        <v>711</v>
      </c>
    </row>
    <row r="106" customFormat="false" ht="35.05" hidden="false" customHeight="false" outlineLevel="0" collapsed="false">
      <c r="A106" s="11" t="s">
        <v>712</v>
      </c>
      <c r="B106" s="11" t="s">
        <v>713</v>
      </c>
      <c r="C106" s="12" t="s">
        <v>714</v>
      </c>
      <c r="D106" s="11" t="s">
        <v>126</v>
      </c>
      <c r="E106" s="11" t="s">
        <v>116</v>
      </c>
      <c r="F106" s="11" t="s">
        <v>715</v>
      </c>
      <c r="G106" s="11" t="s">
        <v>716</v>
      </c>
      <c r="H106" s="11" t="n">
        <v>2</v>
      </c>
      <c r="I106" s="11" t="s">
        <v>18</v>
      </c>
      <c r="J106" s="11" t="s">
        <v>55</v>
      </c>
      <c r="K106" s="11" t="n">
        <v>8</v>
      </c>
      <c r="L106" s="11" t="s">
        <v>717</v>
      </c>
      <c r="M106" s="11" t="s">
        <v>718</v>
      </c>
      <c r="N106" s="11" t="s">
        <v>634</v>
      </c>
      <c r="O106" s="11" t="s">
        <v>635</v>
      </c>
      <c r="P106" s="11"/>
      <c r="Q106" s="11"/>
      <c r="R106" s="11" t="s">
        <v>60</v>
      </c>
      <c r="S106" s="11"/>
      <c r="T106" s="11"/>
      <c r="U106" s="11"/>
    </row>
    <row r="107" customFormat="false" ht="23.85" hidden="false" customHeight="false" outlineLevel="0" collapsed="false">
      <c r="A107" s="11" t="s">
        <v>719</v>
      </c>
      <c r="B107" s="11" t="s">
        <v>713</v>
      </c>
      <c r="C107" s="12" t="s">
        <v>720</v>
      </c>
      <c r="D107" s="11" t="s">
        <v>126</v>
      </c>
      <c r="E107" s="11" t="s">
        <v>116</v>
      </c>
      <c r="F107" s="11" t="s">
        <v>721</v>
      </c>
      <c r="G107" s="11" t="s">
        <v>716</v>
      </c>
      <c r="H107" s="11" t="n">
        <v>1</v>
      </c>
      <c r="I107" s="11" t="s">
        <v>18</v>
      </c>
      <c r="J107" s="11" t="s">
        <v>55</v>
      </c>
      <c r="K107" s="11" t="n">
        <v>8</v>
      </c>
      <c r="L107" s="11" t="s">
        <v>722</v>
      </c>
      <c r="M107" s="11" t="s">
        <v>723</v>
      </c>
      <c r="N107" s="11" t="s">
        <v>312</v>
      </c>
      <c r="O107" s="11" t="s">
        <v>313</v>
      </c>
      <c r="P107" s="11" t="s">
        <v>724</v>
      </c>
      <c r="Q107" s="11"/>
      <c r="R107" s="11" t="s">
        <v>60</v>
      </c>
      <c r="S107" s="11"/>
      <c r="T107" s="11"/>
      <c r="U107" s="11"/>
    </row>
    <row r="108" customFormat="false" ht="23.85" hidden="false" customHeight="false" outlineLevel="0" collapsed="false">
      <c r="A108" s="11" t="s">
        <v>725</v>
      </c>
      <c r="B108" s="11" t="s">
        <v>713</v>
      </c>
      <c r="C108" s="12" t="s">
        <v>726</v>
      </c>
      <c r="D108" s="11" t="s">
        <v>126</v>
      </c>
      <c r="E108" s="11" t="s">
        <v>116</v>
      </c>
      <c r="F108" s="11" t="s">
        <v>727</v>
      </c>
      <c r="G108" s="11" t="s">
        <v>716</v>
      </c>
      <c r="H108" s="11" t="n">
        <v>1</v>
      </c>
      <c r="I108" s="11" t="s">
        <v>18</v>
      </c>
      <c r="J108" s="11" t="s">
        <v>55</v>
      </c>
      <c r="K108" s="11" t="n">
        <v>8</v>
      </c>
      <c r="L108" s="11" t="s">
        <v>728</v>
      </c>
      <c r="M108" s="11" t="s">
        <v>729</v>
      </c>
      <c r="N108" s="11" t="s">
        <v>719</v>
      </c>
      <c r="O108" s="11" t="s">
        <v>720</v>
      </c>
      <c r="P108" s="11" t="s">
        <v>730</v>
      </c>
      <c r="Q108" s="11"/>
      <c r="R108" s="11" t="s">
        <v>60</v>
      </c>
      <c r="S108" s="11"/>
      <c r="T108" s="11"/>
      <c r="U108" s="11"/>
    </row>
    <row r="109" customFormat="false" ht="23.85" hidden="false" customHeight="false" outlineLevel="0" collapsed="false">
      <c r="A109" s="11" t="s">
        <v>731</v>
      </c>
      <c r="B109" s="11" t="s">
        <v>713</v>
      </c>
      <c r="C109" s="12" t="s">
        <v>732</v>
      </c>
      <c r="D109" s="11" t="s">
        <v>126</v>
      </c>
      <c r="E109" s="11" t="s">
        <v>116</v>
      </c>
      <c r="F109" s="11" t="s">
        <v>733</v>
      </c>
      <c r="G109" s="11" t="s">
        <v>716</v>
      </c>
      <c r="H109" s="11" t="n">
        <v>1</v>
      </c>
      <c r="I109" s="11" t="s">
        <v>18</v>
      </c>
      <c r="J109" s="11" t="s">
        <v>55</v>
      </c>
      <c r="K109" s="11" t="n">
        <v>5</v>
      </c>
      <c r="L109" s="11" t="s">
        <v>734</v>
      </c>
      <c r="M109" s="11" t="s">
        <v>735</v>
      </c>
      <c r="N109" s="11" t="s">
        <v>712</v>
      </c>
      <c r="O109" s="11" t="s">
        <v>714</v>
      </c>
      <c r="P109" s="11"/>
      <c r="Q109" s="11"/>
      <c r="R109" s="11" t="s">
        <v>60</v>
      </c>
      <c r="S109" s="11"/>
      <c r="T109" s="11"/>
      <c r="U109" s="11"/>
    </row>
    <row r="110" customFormat="false" ht="15" hidden="false" customHeight="false" outlineLevel="0" collapsed="false">
      <c r="A110" s="11" t="s">
        <v>736</v>
      </c>
      <c r="B110" s="11" t="s">
        <v>713</v>
      </c>
      <c r="C110" s="12" t="s">
        <v>737</v>
      </c>
      <c r="D110" s="11" t="s">
        <v>126</v>
      </c>
      <c r="E110" s="11" t="s">
        <v>116</v>
      </c>
      <c r="F110" s="11" t="s">
        <v>738</v>
      </c>
      <c r="G110" s="11" t="s">
        <v>716</v>
      </c>
      <c r="H110" s="11" t="n">
        <v>1</v>
      </c>
      <c r="I110" s="11" t="s">
        <v>19</v>
      </c>
      <c r="J110" s="11" t="s">
        <v>121</v>
      </c>
      <c r="K110" s="11" t="n">
        <v>5</v>
      </c>
      <c r="L110" s="11" t="s">
        <v>739</v>
      </c>
      <c r="M110" s="11" t="s">
        <v>740</v>
      </c>
      <c r="N110" s="11" t="s">
        <v>719</v>
      </c>
      <c r="O110" s="11" t="s">
        <v>720</v>
      </c>
      <c r="P110" s="11"/>
      <c r="Q110" s="11"/>
      <c r="R110" s="11" t="s">
        <v>60</v>
      </c>
      <c r="S110" s="11"/>
      <c r="T110" s="11"/>
      <c r="U110" s="11"/>
    </row>
    <row r="111" customFormat="false" ht="23.85" hidden="false" customHeight="false" outlineLevel="0" collapsed="false">
      <c r="A111" s="11" t="s">
        <v>741</v>
      </c>
      <c r="B111" s="11" t="s">
        <v>713</v>
      </c>
      <c r="C111" s="12" t="s">
        <v>742</v>
      </c>
      <c r="D111" s="11" t="s">
        <v>126</v>
      </c>
      <c r="E111" s="11" t="s">
        <v>116</v>
      </c>
      <c r="F111" s="11" t="s">
        <v>743</v>
      </c>
      <c r="G111" s="11" t="s">
        <v>716</v>
      </c>
      <c r="H111" s="11" t="n">
        <v>2</v>
      </c>
      <c r="I111" s="11" t="s">
        <v>18</v>
      </c>
      <c r="J111" s="11" t="s">
        <v>55</v>
      </c>
      <c r="K111" s="11" t="n">
        <v>5</v>
      </c>
      <c r="L111" s="11" t="s">
        <v>744</v>
      </c>
      <c r="M111" s="11" t="s">
        <v>745</v>
      </c>
      <c r="N111" s="11" t="s">
        <v>712</v>
      </c>
      <c r="O111" s="11" t="s">
        <v>714</v>
      </c>
      <c r="P111" s="11"/>
      <c r="Q111" s="11"/>
      <c r="R111" s="11" t="s">
        <v>60</v>
      </c>
      <c r="S111" s="11"/>
      <c r="T111" s="11"/>
      <c r="U111" s="11"/>
    </row>
    <row r="112" customFormat="false" ht="15" hidden="false" customHeight="false" outlineLevel="0" collapsed="false">
      <c r="A112" s="11" t="s">
        <v>746</v>
      </c>
      <c r="B112" s="11" t="s">
        <v>713</v>
      </c>
      <c r="C112" s="12" t="s">
        <v>747</v>
      </c>
      <c r="D112" s="11" t="s">
        <v>126</v>
      </c>
      <c r="E112" s="11" t="s">
        <v>116</v>
      </c>
      <c r="F112" s="11" t="s">
        <v>748</v>
      </c>
      <c r="G112" s="11" t="s">
        <v>716</v>
      </c>
      <c r="H112" s="11" t="n">
        <v>1</v>
      </c>
      <c r="I112" s="11" t="s">
        <v>20</v>
      </c>
      <c r="J112" s="11" t="s">
        <v>341</v>
      </c>
      <c r="K112" s="11" t="n">
        <v>5</v>
      </c>
      <c r="L112" s="11" t="s">
        <v>749</v>
      </c>
      <c r="M112" s="11" t="s">
        <v>750</v>
      </c>
      <c r="N112" s="11" t="s">
        <v>741</v>
      </c>
      <c r="O112" s="11" t="s">
        <v>742</v>
      </c>
      <c r="P112" s="11"/>
      <c r="Q112" s="11"/>
      <c r="R112" s="11" t="s">
        <v>60</v>
      </c>
      <c r="S112" s="11"/>
      <c r="T112" s="11"/>
      <c r="U112" s="11"/>
    </row>
    <row r="113" customFormat="false" ht="23.85" hidden="false" customHeight="false" outlineLevel="0" collapsed="false">
      <c r="A113" s="11" t="s">
        <v>751</v>
      </c>
      <c r="B113" s="11" t="s">
        <v>713</v>
      </c>
      <c r="C113" s="12" t="s">
        <v>752</v>
      </c>
      <c r="D113" s="11" t="s">
        <v>126</v>
      </c>
      <c r="E113" s="11" t="s">
        <v>116</v>
      </c>
      <c r="F113" s="11" t="s">
        <v>753</v>
      </c>
      <c r="G113" s="11" t="s">
        <v>716</v>
      </c>
      <c r="H113" s="11" t="n">
        <v>1</v>
      </c>
      <c r="I113" s="11" t="s">
        <v>20</v>
      </c>
      <c r="J113" s="11" t="s">
        <v>341</v>
      </c>
      <c r="K113" s="11" t="n">
        <v>5</v>
      </c>
      <c r="L113" s="11" t="s">
        <v>754</v>
      </c>
      <c r="M113" s="11" t="s">
        <v>755</v>
      </c>
      <c r="N113" s="11" t="s">
        <v>756</v>
      </c>
      <c r="O113" s="11" t="s">
        <v>757</v>
      </c>
      <c r="P113" s="11"/>
      <c r="Q113" s="11" t="s">
        <v>758</v>
      </c>
      <c r="R113" s="11" t="s">
        <v>60</v>
      </c>
      <c r="S113" s="11"/>
      <c r="T113" s="11"/>
      <c r="U113" s="11"/>
    </row>
    <row r="114" customFormat="false" ht="15" hidden="false" customHeight="false" outlineLevel="0" collapsed="false">
      <c r="A114" s="11" t="s">
        <v>759</v>
      </c>
      <c r="B114" s="11" t="s">
        <v>713</v>
      </c>
      <c r="C114" s="12" t="s">
        <v>760</v>
      </c>
      <c r="D114" s="11" t="s">
        <v>126</v>
      </c>
      <c r="E114" s="11" t="s">
        <v>116</v>
      </c>
      <c r="F114" s="11" t="s">
        <v>761</v>
      </c>
      <c r="G114" s="11" t="s">
        <v>716</v>
      </c>
      <c r="H114" s="11" t="n">
        <v>3</v>
      </c>
      <c r="I114" s="11" t="s">
        <v>19</v>
      </c>
      <c r="J114" s="11" t="s">
        <v>121</v>
      </c>
      <c r="K114" s="11" t="n">
        <v>3</v>
      </c>
      <c r="L114" s="11" t="s">
        <v>762</v>
      </c>
      <c r="M114" s="11" t="s">
        <v>763</v>
      </c>
      <c r="N114" s="11" t="s">
        <v>764</v>
      </c>
      <c r="O114" s="11" t="s">
        <v>765</v>
      </c>
      <c r="P114" s="11"/>
      <c r="Q114" s="11"/>
      <c r="R114" s="11" t="s">
        <v>60</v>
      </c>
      <c r="S114" s="11"/>
      <c r="T114" s="11"/>
      <c r="U114" s="11"/>
    </row>
    <row r="115" customFormat="false" ht="23.85" hidden="false" customHeight="false" outlineLevel="0" collapsed="false">
      <c r="A115" s="11" t="s">
        <v>766</v>
      </c>
      <c r="B115" s="11" t="s">
        <v>713</v>
      </c>
      <c r="C115" s="12" t="s">
        <v>767</v>
      </c>
      <c r="D115" s="11" t="s">
        <v>126</v>
      </c>
      <c r="E115" s="11" t="s">
        <v>102</v>
      </c>
      <c r="F115" s="11" t="s">
        <v>768</v>
      </c>
      <c r="G115" s="11" t="s">
        <v>716</v>
      </c>
      <c r="H115" s="11" t="n">
        <v>2</v>
      </c>
      <c r="I115" s="11" t="s">
        <v>19</v>
      </c>
      <c r="J115" s="11" t="s">
        <v>121</v>
      </c>
      <c r="K115" s="11" t="n">
        <v>5</v>
      </c>
      <c r="L115" s="11" t="s">
        <v>769</v>
      </c>
      <c r="M115" s="11" t="s">
        <v>770</v>
      </c>
      <c r="N115" s="11"/>
      <c r="O115" s="11"/>
      <c r="P115" s="11" t="s">
        <v>771</v>
      </c>
      <c r="Q115" s="11"/>
      <c r="R115" s="11" t="s">
        <v>60</v>
      </c>
      <c r="S115" s="11"/>
      <c r="T115" s="11"/>
      <c r="U115" s="11" t="s">
        <v>772</v>
      </c>
    </row>
    <row r="116" customFormat="false" ht="35.05" hidden="false" customHeight="false" outlineLevel="0" collapsed="false">
      <c r="A116" s="11" t="s">
        <v>773</v>
      </c>
      <c r="B116" s="11" t="s">
        <v>774</v>
      </c>
      <c r="C116" s="12" t="s">
        <v>775</v>
      </c>
      <c r="D116" s="11" t="s">
        <v>126</v>
      </c>
      <c r="E116" s="11" t="s">
        <v>116</v>
      </c>
      <c r="F116" s="11" t="s">
        <v>776</v>
      </c>
      <c r="G116" s="11" t="s">
        <v>777</v>
      </c>
      <c r="H116" s="11" t="n">
        <v>3</v>
      </c>
      <c r="I116" s="11" t="s">
        <v>18</v>
      </c>
      <c r="J116" s="11" t="s">
        <v>55</v>
      </c>
      <c r="K116" s="11" t="n">
        <v>5</v>
      </c>
      <c r="L116" s="11" t="s">
        <v>778</v>
      </c>
      <c r="M116" s="11" t="s">
        <v>779</v>
      </c>
      <c r="N116" s="11" t="s">
        <v>634</v>
      </c>
      <c r="O116" s="11" t="s">
        <v>635</v>
      </c>
      <c r="P116" s="11"/>
      <c r="Q116" s="11"/>
      <c r="R116" s="11" t="s">
        <v>60</v>
      </c>
      <c r="S116" s="11"/>
      <c r="T116" s="11"/>
      <c r="U116" s="11"/>
    </row>
    <row r="117" customFormat="false" ht="23.85" hidden="false" customHeight="false" outlineLevel="0" collapsed="false">
      <c r="A117" s="11" t="s">
        <v>780</v>
      </c>
      <c r="B117" s="11" t="s">
        <v>774</v>
      </c>
      <c r="C117" s="12" t="s">
        <v>781</v>
      </c>
      <c r="D117" s="11" t="s">
        <v>126</v>
      </c>
      <c r="E117" s="11" t="s">
        <v>116</v>
      </c>
      <c r="F117" s="11" t="s">
        <v>782</v>
      </c>
      <c r="G117" s="11" t="s">
        <v>777</v>
      </c>
      <c r="H117" s="11" t="n">
        <v>1</v>
      </c>
      <c r="I117" s="11" t="s">
        <v>18</v>
      </c>
      <c r="J117" s="11" t="s">
        <v>55</v>
      </c>
      <c r="K117" s="11" t="n">
        <v>8</v>
      </c>
      <c r="L117" s="11" t="s">
        <v>783</v>
      </c>
      <c r="M117" s="11" t="s">
        <v>784</v>
      </c>
      <c r="N117" s="11" t="s">
        <v>785</v>
      </c>
      <c r="O117" s="11" t="s">
        <v>786</v>
      </c>
      <c r="P117" s="11"/>
      <c r="Q117" s="11"/>
      <c r="R117" s="11" t="s">
        <v>60</v>
      </c>
      <c r="S117" s="11"/>
      <c r="T117" s="11"/>
      <c r="U117" s="11" t="s">
        <v>787</v>
      </c>
    </row>
    <row r="118" customFormat="false" ht="23.85" hidden="false" customHeight="false" outlineLevel="0" collapsed="false">
      <c r="A118" s="11" t="s">
        <v>788</v>
      </c>
      <c r="B118" s="11" t="s">
        <v>774</v>
      </c>
      <c r="C118" s="12" t="s">
        <v>789</v>
      </c>
      <c r="D118" s="11" t="s">
        <v>126</v>
      </c>
      <c r="E118" s="11" t="s">
        <v>116</v>
      </c>
      <c r="F118" s="11" t="s">
        <v>790</v>
      </c>
      <c r="G118" s="11" t="s">
        <v>777</v>
      </c>
      <c r="H118" s="11" t="n">
        <v>3</v>
      </c>
      <c r="I118" s="11" t="s">
        <v>18</v>
      </c>
      <c r="J118" s="11" t="s">
        <v>55</v>
      </c>
      <c r="K118" s="11" t="n">
        <v>5</v>
      </c>
      <c r="L118" s="11" t="s">
        <v>791</v>
      </c>
      <c r="M118" s="11" t="s">
        <v>792</v>
      </c>
      <c r="N118" s="11" t="s">
        <v>773</v>
      </c>
      <c r="O118" s="11" t="s">
        <v>775</v>
      </c>
      <c r="P118" s="11" t="s">
        <v>463</v>
      </c>
      <c r="Q118" s="11"/>
      <c r="R118" s="11" t="s">
        <v>60</v>
      </c>
      <c r="S118" s="11"/>
      <c r="T118" s="11"/>
      <c r="U118" s="11"/>
    </row>
    <row r="119" customFormat="false" ht="23.85" hidden="false" customHeight="false" outlineLevel="0" collapsed="false">
      <c r="A119" s="11" t="s">
        <v>793</v>
      </c>
      <c r="B119" s="11" t="s">
        <v>774</v>
      </c>
      <c r="C119" s="12" t="s">
        <v>794</v>
      </c>
      <c r="D119" s="11" t="s">
        <v>126</v>
      </c>
      <c r="E119" s="11" t="s">
        <v>116</v>
      </c>
      <c r="F119" s="11" t="s">
        <v>795</v>
      </c>
      <c r="G119" s="11" t="s">
        <v>777</v>
      </c>
      <c r="H119" s="11" t="n">
        <v>3</v>
      </c>
      <c r="I119" s="11" t="s">
        <v>19</v>
      </c>
      <c r="J119" s="11" t="s">
        <v>121</v>
      </c>
      <c r="K119" s="11" t="n">
        <v>5</v>
      </c>
      <c r="L119" s="11" t="s">
        <v>796</v>
      </c>
      <c r="M119" s="11" t="s">
        <v>797</v>
      </c>
      <c r="N119" s="11" t="s">
        <v>780</v>
      </c>
      <c r="O119" s="11" t="s">
        <v>781</v>
      </c>
      <c r="P119" s="11"/>
      <c r="Q119" s="11"/>
      <c r="R119" s="11" t="s">
        <v>60</v>
      </c>
      <c r="S119" s="11"/>
      <c r="T119" s="11"/>
      <c r="U119" s="11"/>
    </row>
    <row r="120" customFormat="false" ht="23.85" hidden="false" customHeight="false" outlineLevel="0" collapsed="false">
      <c r="A120" s="11" t="s">
        <v>798</v>
      </c>
      <c r="B120" s="11" t="s">
        <v>774</v>
      </c>
      <c r="C120" s="12" t="s">
        <v>799</v>
      </c>
      <c r="D120" s="11" t="s">
        <v>126</v>
      </c>
      <c r="E120" s="11" t="s">
        <v>116</v>
      </c>
      <c r="F120" s="11" t="s">
        <v>800</v>
      </c>
      <c r="G120" s="11" t="s">
        <v>777</v>
      </c>
      <c r="H120" s="11" t="n">
        <v>1</v>
      </c>
      <c r="I120" s="11" t="s">
        <v>18</v>
      </c>
      <c r="J120" s="11" t="s">
        <v>55</v>
      </c>
      <c r="K120" s="11" t="n">
        <v>8</v>
      </c>
      <c r="L120" s="11" t="s">
        <v>801</v>
      </c>
      <c r="M120" s="11" t="s">
        <v>802</v>
      </c>
      <c r="N120" s="11" t="s">
        <v>479</v>
      </c>
      <c r="O120" s="11" t="s">
        <v>480</v>
      </c>
      <c r="P120" s="11"/>
      <c r="Q120" s="11"/>
      <c r="R120" s="11" t="s">
        <v>60</v>
      </c>
      <c r="S120" s="11"/>
      <c r="T120" s="11"/>
      <c r="U120" s="11"/>
    </row>
    <row r="121" customFormat="false" ht="23.85" hidden="false" customHeight="false" outlineLevel="0" collapsed="false">
      <c r="A121" s="11" t="s">
        <v>803</v>
      </c>
      <c r="B121" s="11" t="s">
        <v>774</v>
      </c>
      <c r="C121" s="12" t="s">
        <v>804</v>
      </c>
      <c r="D121" s="11" t="s">
        <v>126</v>
      </c>
      <c r="E121" s="11" t="s">
        <v>116</v>
      </c>
      <c r="F121" s="11" t="s">
        <v>805</v>
      </c>
      <c r="G121" s="11" t="s">
        <v>777</v>
      </c>
      <c r="H121" s="11" t="n">
        <v>1</v>
      </c>
      <c r="I121" s="11" t="s">
        <v>18</v>
      </c>
      <c r="J121" s="11" t="s">
        <v>55</v>
      </c>
      <c r="K121" s="11" t="n">
        <v>8</v>
      </c>
      <c r="L121" s="11" t="s">
        <v>806</v>
      </c>
      <c r="M121" s="11" t="s">
        <v>807</v>
      </c>
      <c r="N121" s="11" t="s">
        <v>808</v>
      </c>
      <c r="O121" s="11" t="s">
        <v>809</v>
      </c>
      <c r="P121" s="11"/>
      <c r="Q121" s="11"/>
      <c r="R121" s="11" t="s">
        <v>60</v>
      </c>
      <c r="S121" s="11"/>
      <c r="T121" s="11"/>
      <c r="U121" s="11" t="s">
        <v>810</v>
      </c>
    </row>
    <row r="122" customFormat="false" ht="23.85" hidden="false" customHeight="false" outlineLevel="0" collapsed="false">
      <c r="A122" s="11" t="s">
        <v>811</v>
      </c>
      <c r="B122" s="11" t="s">
        <v>774</v>
      </c>
      <c r="C122" s="12" t="s">
        <v>812</v>
      </c>
      <c r="D122" s="11" t="s">
        <v>126</v>
      </c>
      <c r="E122" s="11" t="s">
        <v>116</v>
      </c>
      <c r="F122" s="11" t="s">
        <v>813</v>
      </c>
      <c r="G122" s="11" t="s">
        <v>777</v>
      </c>
      <c r="H122" s="11" t="n">
        <v>1</v>
      </c>
      <c r="I122" s="11" t="s">
        <v>18</v>
      </c>
      <c r="J122" s="11" t="s">
        <v>55</v>
      </c>
      <c r="K122" s="11" t="n">
        <v>5</v>
      </c>
      <c r="L122" s="11" t="s">
        <v>814</v>
      </c>
      <c r="M122" s="11" t="s">
        <v>815</v>
      </c>
      <c r="N122" s="11" t="s">
        <v>803</v>
      </c>
      <c r="O122" s="11" t="s">
        <v>804</v>
      </c>
      <c r="P122" s="11" t="s">
        <v>816</v>
      </c>
      <c r="Q122" s="11"/>
      <c r="R122" s="11" t="s">
        <v>60</v>
      </c>
      <c r="S122" s="11"/>
      <c r="T122" s="11"/>
      <c r="U122" s="11"/>
    </row>
    <row r="123" customFormat="false" ht="23.85" hidden="false" customHeight="false" outlineLevel="0" collapsed="false">
      <c r="A123" s="11" t="s">
        <v>817</v>
      </c>
      <c r="B123" s="11" t="s">
        <v>774</v>
      </c>
      <c r="C123" s="12" t="s">
        <v>818</v>
      </c>
      <c r="D123" s="11" t="s">
        <v>126</v>
      </c>
      <c r="E123" s="11" t="s">
        <v>102</v>
      </c>
      <c r="F123" s="11" t="s">
        <v>819</v>
      </c>
      <c r="G123" s="11" t="s">
        <v>777</v>
      </c>
      <c r="H123" s="11" t="n">
        <v>2</v>
      </c>
      <c r="I123" s="11" t="s">
        <v>19</v>
      </c>
      <c r="J123" s="11" t="s">
        <v>121</v>
      </c>
      <c r="K123" s="11" t="n">
        <v>5</v>
      </c>
      <c r="L123" s="11" t="s">
        <v>820</v>
      </c>
      <c r="M123" s="11" t="s">
        <v>821</v>
      </c>
      <c r="N123" s="11" t="s">
        <v>822</v>
      </c>
      <c r="O123" s="11" t="s">
        <v>823</v>
      </c>
      <c r="P123" s="11"/>
      <c r="Q123" s="11"/>
      <c r="R123" s="11" t="s">
        <v>60</v>
      </c>
      <c r="S123" s="11"/>
      <c r="T123" s="11"/>
      <c r="U123" s="11" t="s">
        <v>824</v>
      </c>
    </row>
    <row r="124" customFormat="false" ht="35.05" hidden="false" customHeight="false" outlineLevel="0" collapsed="false">
      <c r="A124" s="11" t="s">
        <v>785</v>
      </c>
      <c r="B124" s="11" t="s">
        <v>774</v>
      </c>
      <c r="C124" s="12" t="s">
        <v>786</v>
      </c>
      <c r="D124" s="11" t="s">
        <v>126</v>
      </c>
      <c r="E124" s="11" t="s">
        <v>262</v>
      </c>
      <c r="F124" s="11" t="s">
        <v>825</v>
      </c>
      <c r="G124" s="11" t="s">
        <v>777</v>
      </c>
      <c r="H124" s="11" t="n">
        <v>1</v>
      </c>
      <c r="I124" s="11" t="s">
        <v>18</v>
      </c>
      <c r="J124" s="11" t="s">
        <v>55</v>
      </c>
      <c r="K124" s="11" t="n">
        <v>8</v>
      </c>
      <c r="L124" s="11" t="s">
        <v>826</v>
      </c>
      <c r="M124" s="11" t="s">
        <v>827</v>
      </c>
      <c r="N124" s="11" t="s">
        <v>280</v>
      </c>
      <c r="O124" s="11" t="s">
        <v>281</v>
      </c>
      <c r="P124" s="11" t="s">
        <v>828</v>
      </c>
      <c r="Q124" s="11"/>
      <c r="R124" s="11" t="s">
        <v>60</v>
      </c>
      <c r="S124" s="11"/>
      <c r="T124" s="11"/>
      <c r="U124" s="11" t="s">
        <v>829</v>
      </c>
    </row>
    <row r="125" customFormat="false" ht="23.85" hidden="false" customHeight="false" outlineLevel="0" collapsed="false">
      <c r="A125" s="11" t="s">
        <v>808</v>
      </c>
      <c r="B125" s="11" t="s">
        <v>774</v>
      </c>
      <c r="C125" s="12" t="s">
        <v>809</v>
      </c>
      <c r="D125" s="11" t="s">
        <v>126</v>
      </c>
      <c r="E125" s="11" t="s">
        <v>206</v>
      </c>
      <c r="F125" s="11" t="s">
        <v>830</v>
      </c>
      <c r="G125" s="11" t="s">
        <v>777</v>
      </c>
      <c r="H125" s="11" t="n">
        <v>1</v>
      </c>
      <c r="I125" s="11" t="s">
        <v>18</v>
      </c>
      <c r="J125" s="11" t="s">
        <v>55</v>
      </c>
      <c r="K125" s="11" t="n">
        <v>5</v>
      </c>
      <c r="L125" s="11" t="s">
        <v>831</v>
      </c>
      <c r="M125" s="11" t="s">
        <v>832</v>
      </c>
      <c r="N125" s="11" t="s">
        <v>785</v>
      </c>
      <c r="O125" s="11" t="s">
        <v>786</v>
      </c>
      <c r="P125" s="11"/>
      <c r="Q125" s="11"/>
      <c r="R125" s="11" t="s">
        <v>60</v>
      </c>
      <c r="S125" s="11"/>
      <c r="T125" s="11"/>
      <c r="U125" s="11" t="s">
        <v>833</v>
      </c>
    </row>
    <row r="126" customFormat="false" ht="23.85" hidden="false" customHeight="false" outlineLevel="0" collapsed="false">
      <c r="A126" s="11" t="s">
        <v>822</v>
      </c>
      <c r="B126" s="11" t="s">
        <v>774</v>
      </c>
      <c r="C126" s="12" t="s">
        <v>823</v>
      </c>
      <c r="D126" s="11" t="s">
        <v>126</v>
      </c>
      <c r="E126" s="11" t="s">
        <v>206</v>
      </c>
      <c r="F126" s="11" t="s">
        <v>834</v>
      </c>
      <c r="G126" s="11" t="s">
        <v>777</v>
      </c>
      <c r="H126" s="11" t="n">
        <v>2</v>
      </c>
      <c r="I126" s="11" t="s">
        <v>19</v>
      </c>
      <c r="J126" s="11" t="s">
        <v>121</v>
      </c>
      <c r="K126" s="11" t="n">
        <v>3</v>
      </c>
      <c r="L126" s="11" t="s">
        <v>835</v>
      </c>
      <c r="M126" s="11" t="s">
        <v>836</v>
      </c>
      <c r="N126" s="11" t="s">
        <v>785</v>
      </c>
      <c r="O126" s="11" t="s">
        <v>786</v>
      </c>
      <c r="P126" s="11"/>
      <c r="Q126" s="11"/>
      <c r="R126" s="11" t="s">
        <v>60</v>
      </c>
      <c r="S126" s="11"/>
      <c r="T126" s="11"/>
      <c r="U126" s="11" t="s">
        <v>824</v>
      </c>
    </row>
    <row r="127" customFormat="false" ht="23.85" hidden="false" customHeight="false" outlineLevel="0" collapsed="false">
      <c r="A127" s="11" t="s">
        <v>837</v>
      </c>
      <c r="B127" s="11" t="s">
        <v>774</v>
      </c>
      <c r="C127" s="12" t="s">
        <v>838</v>
      </c>
      <c r="D127" s="11" t="s">
        <v>126</v>
      </c>
      <c r="E127" s="11" t="s">
        <v>102</v>
      </c>
      <c r="F127" s="11" t="s">
        <v>839</v>
      </c>
      <c r="G127" s="11" t="s">
        <v>777</v>
      </c>
      <c r="H127" s="11" t="n">
        <v>2</v>
      </c>
      <c r="I127" s="11" t="s">
        <v>19</v>
      </c>
      <c r="J127" s="11" t="s">
        <v>121</v>
      </c>
      <c r="K127" s="11" t="n">
        <v>5</v>
      </c>
      <c r="L127" s="11" t="s">
        <v>840</v>
      </c>
      <c r="M127" s="11" t="s">
        <v>841</v>
      </c>
      <c r="N127" s="11"/>
      <c r="O127" s="11"/>
      <c r="P127" s="11" t="s">
        <v>842</v>
      </c>
      <c r="Q127" s="11"/>
      <c r="R127" s="11" t="s">
        <v>60</v>
      </c>
      <c r="S127" s="11"/>
      <c r="T127" s="11"/>
      <c r="U127" s="11" t="s">
        <v>843</v>
      </c>
    </row>
    <row r="128" customFormat="false" ht="23.85" hidden="false" customHeight="false" outlineLevel="0" collapsed="false">
      <c r="A128" s="11" t="s">
        <v>844</v>
      </c>
      <c r="B128" s="11" t="s">
        <v>774</v>
      </c>
      <c r="C128" s="12" t="s">
        <v>845</v>
      </c>
      <c r="D128" s="11" t="s">
        <v>126</v>
      </c>
      <c r="E128" s="11" t="s">
        <v>116</v>
      </c>
      <c r="F128" s="11" t="s">
        <v>846</v>
      </c>
      <c r="G128" s="11" t="s">
        <v>777</v>
      </c>
      <c r="H128" s="11" t="n">
        <v>2</v>
      </c>
      <c r="I128" s="11" t="s">
        <v>19</v>
      </c>
      <c r="J128" s="11" t="s">
        <v>121</v>
      </c>
      <c r="K128" s="11" t="n">
        <v>3</v>
      </c>
      <c r="L128" s="11" t="s">
        <v>847</v>
      </c>
      <c r="M128" s="11" t="s">
        <v>848</v>
      </c>
      <c r="N128" s="11" t="s">
        <v>837</v>
      </c>
      <c r="O128" s="11" t="s">
        <v>838</v>
      </c>
      <c r="P128" s="11"/>
      <c r="Q128" s="11"/>
      <c r="R128" s="11" t="s">
        <v>60</v>
      </c>
      <c r="S128" s="11"/>
      <c r="T128" s="11"/>
      <c r="U128" s="11" t="s">
        <v>849</v>
      </c>
    </row>
    <row r="129" customFormat="false" ht="46.25" hidden="false" customHeight="false" outlineLevel="0" collapsed="false">
      <c r="A129" s="11" t="s">
        <v>86</v>
      </c>
      <c r="B129" s="11" t="s">
        <v>850</v>
      </c>
      <c r="C129" s="12" t="s">
        <v>87</v>
      </c>
      <c r="D129" s="11" t="s">
        <v>126</v>
      </c>
      <c r="E129" s="11" t="s">
        <v>116</v>
      </c>
      <c r="F129" s="11" t="s">
        <v>851</v>
      </c>
      <c r="G129" s="11" t="s">
        <v>83</v>
      </c>
      <c r="H129" s="11" t="n">
        <v>1</v>
      </c>
      <c r="I129" s="11" t="s">
        <v>18</v>
      </c>
      <c r="J129" s="11" t="s">
        <v>55</v>
      </c>
      <c r="K129" s="11" t="n">
        <v>5</v>
      </c>
      <c r="L129" s="11" t="s">
        <v>852</v>
      </c>
      <c r="M129" s="11" t="s">
        <v>853</v>
      </c>
      <c r="N129" s="11" t="s">
        <v>854</v>
      </c>
      <c r="O129" s="11" t="s">
        <v>855</v>
      </c>
      <c r="P129" s="11"/>
      <c r="Q129" s="11"/>
      <c r="R129" s="11" t="s">
        <v>60</v>
      </c>
      <c r="S129" s="11"/>
      <c r="T129" s="11"/>
      <c r="U129" s="11"/>
    </row>
    <row r="130" customFormat="false" ht="23.85" hidden="false" customHeight="false" outlineLevel="0" collapsed="false">
      <c r="A130" s="11" t="s">
        <v>856</v>
      </c>
      <c r="B130" s="11" t="s">
        <v>850</v>
      </c>
      <c r="C130" s="12" t="s">
        <v>857</v>
      </c>
      <c r="D130" s="11" t="s">
        <v>126</v>
      </c>
      <c r="E130" s="11" t="s">
        <v>116</v>
      </c>
      <c r="F130" s="11" t="s">
        <v>858</v>
      </c>
      <c r="G130" s="11" t="s">
        <v>83</v>
      </c>
      <c r="H130" s="11" t="n">
        <v>2</v>
      </c>
      <c r="I130" s="11" t="s">
        <v>18</v>
      </c>
      <c r="J130" s="11" t="s">
        <v>55</v>
      </c>
      <c r="K130" s="11" t="n">
        <v>5</v>
      </c>
      <c r="L130" s="11" t="s">
        <v>859</v>
      </c>
      <c r="M130" s="11" t="s">
        <v>860</v>
      </c>
      <c r="N130" s="11" t="s">
        <v>861</v>
      </c>
      <c r="O130" s="11" t="s">
        <v>862</v>
      </c>
      <c r="P130" s="11"/>
      <c r="Q130" s="11"/>
      <c r="R130" s="11" t="s">
        <v>60</v>
      </c>
      <c r="S130" s="11"/>
      <c r="T130" s="11"/>
      <c r="U130" s="11"/>
    </row>
    <row r="131" customFormat="false" ht="23.85" hidden="false" customHeight="false" outlineLevel="0" collapsed="false">
      <c r="A131" s="11" t="s">
        <v>863</v>
      </c>
      <c r="B131" s="11" t="s">
        <v>850</v>
      </c>
      <c r="C131" s="12" t="s">
        <v>864</v>
      </c>
      <c r="D131" s="11" t="s">
        <v>126</v>
      </c>
      <c r="E131" s="11" t="s">
        <v>116</v>
      </c>
      <c r="F131" s="11" t="s">
        <v>865</v>
      </c>
      <c r="G131" s="11" t="s">
        <v>83</v>
      </c>
      <c r="H131" s="11" t="n">
        <v>1</v>
      </c>
      <c r="I131" s="11" t="s">
        <v>18</v>
      </c>
      <c r="J131" s="11" t="s">
        <v>55</v>
      </c>
      <c r="K131" s="11" t="n">
        <v>8</v>
      </c>
      <c r="L131" s="11" t="s">
        <v>866</v>
      </c>
      <c r="M131" s="11" t="s">
        <v>867</v>
      </c>
      <c r="N131" s="11" t="s">
        <v>856</v>
      </c>
      <c r="O131" s="11" t="s">
        <v>857</v>
      </c>
      <c r="P131" s="11"/>
      <c r="Q131" s="11"/>
      <c r="R131" s="11" t="s">
        <v>60</v>
      </c>
      <c r="S131" s="11"/>
      <c r="T131" s="11"/>
      <c r="U131" s="11" t="s">
        <v>868</v>
      </c>
    </row>
    <row r="132" customFormat="false" ht="23.85" hidden="false" customHeight="false" outlineLevel="0" collapsed="false">
      <c r="A132" s="11" t="s">
        <v>869</v>
      </c>
      <c r="B132" s="11" t="s">
        <v>850</v>
      </c>
      <c r="C132" s="12" t="s">
        <v>870</v>
      </c>
      <c r="D132" s="11" t="s">
        <v>126</v>
      </c>
      <c r="E132" s="11" t="s">
        <v>116</v>
      </c>
      <c r="F132" s="11" t="s">
        <v>871</v>
      </c>
      <c r="G132" s="11" t="s">
        <v>83</v>
      </c>
      <c r="H132" s="11" t="n">
        <v>1</v>
      </c>
      <c r="I132" s="11" t="s">
        <v>18</v>
      </c>
      <c r="J132" s="11" t="s">
        <v>55</v>
      </c>
      <c r="K132" s="11" t="n">
        <v>5</v>
      </c>
      <c r="L132" s="11" t="s">
        <v>872</v>
      </c>
      <c r="M132" s="11" t="s">
        <v>873</v>
      </c>
      <c r="N132" s="11" t="s">
        <v>863</v>
      </c>
      <c r="O132" s="11" t="s">
        <v>864</v>
      </c>
      <c r="P132" s="11"/>
      <c r="Q132" s="11"/>
      <c r="R132" s="11" t="s">
        <v>60</v>
      </c>
      <c r="S132" s="11"/>
      <c r="T132" s="11"/>
      <c r="U132" s="11" t="s">
        <v>868</v>
      </c>
    </row>
    <row r="133" customFormat="false" ht="23.85" hidden="false" customHeight="false" outlineLevel="0" collapsed="false">
      <c r="A133" s="11" t="s">
        <v>756</v>
      </c>
      <c r="B133" s="11" t="s">
        <v>850</v>
      </c>
      <c r="C133" s="12" t="s">
        <v>757</v>
      </c>
      <c r="D133" s="11" t="s">
        <v>126</v>
      </c>
      <c r="E133" s="11" t="s">
        <v>116</v>
      </c>
      <c r="F133" s="11" t="s">
        <v>874</v>
      </c>
      <c r="G133" s="11" t="s">
        <v>83</v>
      </c>
      <c r="H133" s="11" t="n">
        <v>1</v>
      </c>
      <c r="I133" s="11" t="s">
        <v>19</v>
      </c>
      <c r="J133" s="11" t="s">
        <v>121</v>
      </c>
      <c r="K133" s="11" t="n">
        <v>5</v>
      </c>
      <c r="L133" s="11" t="s">
        <v>875</v>
      </c>
      <c r="M133" s="11" t="s">
        <v>876</v>
      </c>
      <c r="N133" s="11" t="s">
        <v>86</v>
      </c>
      <c r="O133" s="11" t="s">
        <v>87</v>
      </c>
      <c r="P133" s="11"/>
      <c r="Q133" s="11"/>
      <c r="R133" s="11" t="s">
        <v>60</v>
      </c>
      <c r="S133" s="11"/>
      <c r="T133" s="11"/>
      <c r="U133" s="11"/>
    </row>
    <row r="134" customFormat="false" ht="23.85" hidden="false" customHeight="false" outlineLevel="0" collapsed="false">
      <c r="A134" s="11" t="s">
        <v>877</v>
      </c>
      <c r="B134" s="11" t="s">
        <v>850</v>
      </c>
      <c r="C134" s="12" t="s">
        <v>878</v>
      </c>
      <c r="D134" s="11" t="s">
        <v>126</v>
      </c>
      <c r="E134" s="11" t="s">
        <v>116</v>
      </c>
      <c r="F134" s="11" t="s">
        <v>879</v>
      </c>
      <c r="G134" s="11" t="s">
        <v>83</v>
      </c>
      <c r="H134" s="11" t="n">
        <v>2</v>
      </c>
      <c r="I134" s="11" t="s">
        <v>18</v>
      </c>
      <c r="J134" s="11" t="s">
        <v>55</v>
      </c>
      <c r="K134" s="11" t="n">
        <v>5</v>
      </c>
      <c r="L134" s="11" t="s">
        <v>880</v>
      </c>
      <c r="M134" s="11" t="s">
        <v>881</v>
      </c>
      <c r="N134" s="11" t="s">
        <v>90</v>
      </c>
      <c r="O134" s="11" t="s">
        <v>91</v>
      </c>
      <c r="P134" s="11"/>
      <c r="Q134" s="11"/>
      <c r="R134" s="11" t="s">
        <v>60</v>
      </c>
      <c r="S134" s="11"/>
      <c r="T134" s="11"/>
      <c r="U134" s="11"/>
    </row>
    <row r="135" customFormat="false" ht="23.85" hidden="false" customHeight="false" outlineLevel="0" collapsed="false">
      <c r="A135" s="11" t="s">
        <v>882</v>
      </c>
      <c r="B135" s="11" t="s">
        <v>850</v>
      </c>
      <c r="C135" s="12" t="s">
        <v>883</v>
      </c>
      <c r="D135" s="11" t="s">
        <v>126</v>
      </c>
      <c r="E135" s="11" t="s">
        <v>116</v>
      </c>
      <c r="F135" s="11" t="s">
        <v>884</v>
      </c>
      <c r="G135" s="11" t="s">
        <v>83</v>
      </c>
      <c r="H135" s="11" t="n">
        <v>2</v>
      </c>
      <c r="I135" s="11" t="s">
        <v>18</v>
      </c>
      <c r="J135" s="11" t="s">
        <v>55</v>
      </c>
      <c r="K135" s="11" t="n">
        <v>5</v>
      </c>
      <c r="L135" s="11" t="s">
        <v>885</v>
      </c>
      <c r="M135" s="11" t="s">
        <v>886</v>
      </c>
      <c r="N135" s="11" t="s">
        <v>80</v>
      </c>
      <c r="O135" s="11" t="s">
        <v>81</v>
      </c>
      <c r="P135" s="11"/>
      <c r="Q135" s="11"/>
      <c r="R135" s="11" t="s">
        <v>60</v>
      </c>
      <c r="S135" s="11"/>
      <c r="T135" s="11"/>
      <c r="U135" s="11"/>
    </row>
    <row r="136" customFormat="false" ht="23.85" hidden="false" customHeight="false" outlineLevel="0" collapsed="false">
      <c r="A136" s="11" t="s">
        <v>887</v>
      </c>
      <c r="B136" s="11" t="s">
        <v>850</v>
      </c>
      <c r="C136" s="12" t="s">
        <v>888</v>
      </c>
      <c r="D136" s="11" t="s">
        <v>126</v>
      </c>
      <c r="E136" s="11" t="s">
        <v>116</v>
      </c>
      <c r="F136" s="11" t="s">
        <v>889</v>
      </c>
      <c r="G136" s="11" t="s">
        <v>83</v>
      </c>
      <c r="H136" s="11" t="n">
        <v>1</v>
      </c>
      <c r="I136" s="11" t="s">
        <v>18</v>
      </c>
      <c r="J136" s="11" t="s">
        <v>55</v>
      </c>
      <c r="K136" s="11" t="n">
        <v>5</v>
      </c>
      <c r="L136" s="11" t="s">
        <v>890</v>
      </c>
      <c r="M136" s="11" t="s">
        <v>891</v>
      </c>
      <c r="N136" s="11" t="s">
        <v>892</v>
      </c>
      <c r="O136" s="11" t="s">
        <v>893</v>
      </c>
      <c r="P136" s="11"/>
      <c r="Q136" s="11"/>
      <c r="R136" s="11" t="s">
        <v>60</v>
      </c>
      <c r="S136" s="11"/>
      <c r="T136" s="11"/>
      <c r="U136" s="11"/>
    </row>
    <row r="137" customFormat="false" ht="23.85" hidden="false" customHeight="false" outlineLevel="0" collapsed="false">
      <c r="A137" s="11" t="s">
        <v>894</v>
      </c>
      <c r="B137" s="11" t="s">
        <v>850</v>
      </c>
      <c r="C137" s="12" t="s">
        <v>895</v>
      </c>
      <c r="D137" s="11" t="s">
        <v>126</v>
      </c>
      <c r="E137" s="11" t="s">
        <v>116</v>
      </c>
      <c r="F137" s="11" t="s">
        <v>896</v>
      </c>
      <c r="G137" s="11" t="s">
        <v>83</v>
      </c>
      <c r="H137" s="11" t="n">
        <v>2</v>
      </c>
      <c r="I137" s="11" t="s">
        <v>18</v>
      </c>
      <c r="J137" s="11" t="s">
        <v>55</v>
      </c>
      <c r="K137" s="11" t="n">
        <v>5</v>
      </c>
      <c r="L137" s="11" t="s">
        <v>897</v>
      </c>
      <c r="M137" s="11" t="s">
        <v>898</v>
      </c>
      <c r="N137" s="11" t="s">
        <v>899</v>
      </c>
      <c r="O137" s="11" t="s">
        <v>900</v>
      </c>
      <c r="P137" s="11"/>
      <c r="Q137" s="11"/>
      <c r="R137" s="11" t="s">
        <v>60</v>
      </c>
      <c r="S137" s="11"/>
      <c r="T137" s="11"/>
      <c r="U137" s="11"/>
    </row>
    <row r="138" customFormat="false" ht="15" hidden="false" customHeight="false" outlineLevel="0" collapsed="false">
      <c r="A138" s="11" t="s">
        <v>901</v>
      </c>
      <c r="B138" s="11" t="s">
        <v>850</v>
      </c>
      <c r="C138" s="12" t="s">
        <v>902</v>
      </c>
      <c r="D138" s="11" t="s">
        <v>126</v>
      </c>
      <c r="E138" s="11" t="s">
        <v>116</v>
      </c>
      <c r="F138" s="11" t="s">
        <v>903</v>
      </c>
      <c r="G138" s="11" t="s">
        <v>83</v>
      </c>
      <c r="H138" s="11" t="n">
        <v>2</v>
      </c>
      <c r="I138" s="11" t="s">
        <v>20</v>
      </c>
      <c r="J138" s="11" t="s">
        <v>341</v>
      </c>
      <c r="K138" s="11" t="n">
        <v>5</v>
      </c>
      <c r="L138" s="11" t="s">
        <v>904</v>
      </c>
      <c r="M138" s="11" t="s">
        <v>905</v>
      </c>
      <c r="N138" s="11" t="s">
        <v>511</v>
      </c>
      <c r="O138" s="11" t="s">
        <v>512</v>
      </c>
      <c r="P138" s="11"/>
      <c r="Q138" s="11"/>
      <c r="R138" s="11" t="s">
        <v>60</v>
      </c>
      <c r="S138" s="11"/>
      <c r="T138" s="11"/>
      <c r="U138" s="11"/>
    </row>
    <row r="139" customFormat="false" ht="23.85" hidden="false" customHeight="false" outlineLevel="0" collapsed="false">
      <c r="A139" s="11" t="s">
        <v>906</v>
      </c>
      <c r="B139" s="11" t="s">
        <v>850</v>
      </c>
      <c r="C139" s="12" t="s">
        <v>907</v>
      </c>
      <c r="D139" s="11" t="s">
        <v>126</v>
      </c>
      <c r="E139" s="11" t="s">
        <v>116</v>
      </c>
      <c r="F139" s="11" t="s">
        <v>908</v>
      </c>
      <c r="G139" s="11" t="s">
        <v>83</v>
      </c>
      <c r="H139" s="11" t="n">
        <v>1</v>
      </c>
      <c r="I139" s="11" t="s">
        <v>18</v>
      </c>
      <c r="J139" s="11" t="s">
        <v>55</v>
      </c>
      <c r="K139" s="11" t="n">
        <v>8</v>
      </c>
      <c r="L139" s="11" t="s">
        <v>909</v>
      </c>
      <c r="M139" s="11" t="s">
        <v>910</v>
      </c>
      <c r="N139" s="11" t="s">
        <v>394</v>
      </c>
      <c r="O139" s="11" t="s">
        <v>395</v>
      </c>
      <c r="P139" s="11"/>
      <c r="Q139" s="11"/>
      <c r="R139" s="11" t="s">
        <v>60</v>
      </c>
      <c r="S139" s="11"/>
      <c r="T139" s="11"/>
      <c r="U139" s="11"/>
    </row>
    <row r="140" customFormat="false" ht="23.85" hidden="false" customHeight="false" outlineLevel="0" collapsed="false">
      <c r="A140" s="11" t="s">
        <v>911</v>
      </c>
      <c r="B140" s="11" t="s">
        <v>850</v>
      </c>
      <c r="C140" s="12" t="s">
        <v>912</v>
      </c>
      <c r="D140" s="11" t="s">
        <v>126</v>
      </c>
      <c r="E140" s="11" t="s">
        <v>116</v>
      </c>
      <c r="F140" s="11" t="s">
        <v>913</v>
      </c>
      <c r="G140" s="11" t="s">
        <v>83</v>
      </c>
      <c r="H140" s="11" t="n">
        <v>1</v>
      </c>
      <c r="I140" s="11" t="s">
        <v>19</v>
      </c>
      <c r="J140" s="11" t="s">
        <v>121</v>
      </c>
      <c r="K140" s="11" t="n">
        <v>5</v>
      </c>
      <c r="L140" s="11" t="s">
        <v>914</v>
      </c>
      <c r="M140" s="11" t="s">
        <v>915</v>
      </c>
      <c r="N140" s="11" t="s">
        <v>856</v>
      </c>
      <c r="O140" s="11" t="s">
        <v>857</v>
      </c>
      <c r="P140" s="11"/>
      <c r="Q140" s="11"/>
      <c r="R140" s="11" t="s">
        <v>60</v>
      </c>
      <c r="S140" s="11"/>
      <c r="T140" s="11"/>
      <c r="U140" s="11"/>
    </row>
    <row r="141" customFormat="false" ht="23.85" hidden="false" customHeight="false" outlineLevel="0" collapsed="false">
      <c r="A141" s="11" t="s">
        <v>916</v>
      </c>
      <c r="B141" s="11" t="s">
        <v>850</v>
      </c>
      <c r="C141" s="12" t="s">
        <v>917</v>
      </c>
      <c r="D141" s="11" t="s">
        <v>126</v>
      </c>
      <c r="E141" s="11" t="s">
        <v>116</v>
      </c>
      <c r="F141" s="11" t="s">
        <v>918</v>
      </c>
      <c r="G141" s="11" t="s">
        <v>83</v>
      </c>
      <c r="H141" s="11" t="n">
        <v>3</v>
      </c>
      <c r="I141" s="11" t="s">
        <v>19</v>
      </c>
      <c r="J141" s="11" t="s">
        <v>121</v>
      </c>
      <c r="K141" s="11" t="n">
        <v>5</v>
      </c>
      <c r="L141" s="11" t="s">
        <v>919</v>
      </c>
      <c r="M141" s="11" t="s">
        <v>920</v>
      </c>
      <c r="N141" s="11" t="s">
        <v>86</v>
      </c>
      <c r="O141" s="11" t="s">
        <v>87</v>
      </c>
      <c r="P141" s="11"/>
      <c r="Q141" s="11"/>
      <c r="R141" s="11" t="s">
        <v>60</v>
      </c>
      <c r="S141" s="11"/>
      <c r="T141" s="11"/>
      <c r="U141" s="11"/>
    </row>
    <row r="142" customFormat="false" ht="23.85" hidden="false" customHeight="false" outlineLevel="0" collapsed="false">
      <c r="A142" s="11" t="s">
        <v>921</v>
      </c>
      <c r="B142" s="11" t="s">
        <v>850</v>
      </c>
      <c r="C142" s="12" t="s">
        <v>922</v>
      </c>
      <c r="D142" s="11" t="s">
        <v>126</v>
      </c>
      <c r="E142" s="11" t="s">
        <v>116</v>
      </c>
      <c r="F142" s="11" t="s">
        <v>923</v>
      </c>
      <c r="G142" s="11" t="s">
        <v>924</v>
      </c>
      <c r="H142" s="11" t="n">
        <v>1</v>
      </c>
      <c r="I142" s="11" t="s">
        <v>19</v>
      </c>
      <c r="J142" s="11" t="s">
        <v>121</v>
      </c>
      <c r="K142" s="11" t="n">
        <v>5</v>
      </c>
      <c r="L142" s="11" t="s">
        <v>925</v>
      </c>
      <c r="M142" s="11" t="s">
        <v>926</v>
      </c>
      <c r="N142" s="11" t="s">
        <v>451</v>
      </c>
      <c r="O142" s="11" t="s">
        <v>452</v>
      </c>
      <c r="P142" s="11"/>
      <c r="Q142" s="11"/>
      <c r="R142" s="11" t="s">
        <v>60</v>
      </c>
      <c r="S142" s="11"/>
      <c r="T142" s="11"/>
      <c r="U142" s="11" t="s">
        <v>456</v>
      </c>
    </row>
    <row r="143" customFormat="false" ht="23.85" hidden="false" customHeight="false" outlineLevel="0" collapsed="false">
      <c r="A143" s="11" t="s">
        <v>764</v>
      </c>
      <c r="B143" s="11" t="s">
        <v>850</v>
      </c>
      <c r="C143" s="12" t="s">
        <v>765</v>
      </c>
      <c r="D143" s="11" t="s">
        <v>126</v>
      </c>
      <c r="E143" s="11" t="s">
        <v>116</v>
      </c>
      <c r="F143" s="11" t="s">
        <v>927</v>
      </c>
      <c r="G143" s="11" t="s">
        <v>83</v>
      </c>
      <c r="H143" s="11" t="n">
        <v>2</v>
      </c>
      <c r="I143" s="11" t="s">
        <v>19</v>
      </c>
      <c r="J143" s="11" t="s">
        <v>121</v>
      </c>
      <c r="K143" s="11" t="n">
        <v>5</v>
      </c>
      <c r="L143" s="11" t="s">
        <v>928</v>
      </c>
      <c r="M143" s="11" t="s">
        <v>929</v>
      </c>
      <c r="N143" s="11" t="s">
        <v>465</v>
      </c>
      <c r="O143" s="11" t="s">
        <v>466</v>
      </c>
      <c r="P143" s="11"/>
      <c r="Q143" s="11"/>
      <c r="R143" s="11" t="s">
        <v>60</v>
      </c>
      <c r="S143" s="11"/>
      <c r="T143" s="11"/>
      <c r="U143" s="11"/>
    </row>
    <row r="144" customFormat="false" ht="23.85" hidden="false" customHeight="false" outlineLevel="0" collapsed="false">
      <c r="A144" s="11" t="s">
        <v>930</v>
      </c>
      <c r="B144" s="11" t="s">
        <v>850</v>
      </c>
      <c r="C144" s="12" t="s">
        <v>931</v>
      </c>
      <c r="D144" s="11" t="s">
        <v>126</v>
      </c>
      <c r="E144" s="11" t="s">
        <v>116</v>
      </c>
      <c r="F144" s="11" t="s">
        <v>932</v>
      </c>
      <c r="G144" s="11" t="s">
        <v>83</v>
      </c>
      <c r="H144" s="11" t="n">
        <v>2</v>
      </c>
      <c r="I144" s="11" t="s">
        <v>20</v>
      </c>
      <c r="J144" s="11" t="s">
        <v>341</v>
      </c>
      <c r="K144" s="11" t="n">
        <v>5</v>
      </c>
      <c r="L144" s="11" t="s">
        <v>933</v>
      </c>
      <c r="M144" s="11" t="s">
        <v>934</v>
      </c>
      <c r="N144" s="11" t="s">
        <v>359</v>
      </c>
      <c r="O144" s="11" t="s">
        <v>360</v>
      </c>
      <c r="P144" s="11"/>
      <c r="Q144" s="11"/>
      <c r="R144" s="11" t="s">
        <v>60</v>
      </c>
      <c r="S144" s="11"/>
      <c r="T144" s="11"/>
      <c r="U144" s="11"/>
    </row>
    <row r="145" customFormat="false" ht="23.85" hidden="false" customHeight="false" outlineLevel="0" collapsed="false">
      <c r="A145" s="11" t="s">
        <v>935</v>
      </c>
      <c r="B145" s="11" t="s">
        <v>936</v>
      </c>
      <c r="C145" s="12" t="s">
        <v>937</v>
      </c>
      <c r="D145" s="11" t="s">
        <v>52</v>
      </c>
      <c r="E145" s="11" t="s">
        <v>102</v>
      </c>
      <c r="F145" s="11" t="s">
        <v>938</v>
      </c>
      <c r="G145" s="11" t="s">
        <v>54</v>
      </c>
      <c r="H145" s="11" t="n">
        <v>3</v>
      </c>
      <c r="I145" s="11" t="s">
        <v>19</v>
      </c>
      <c r="J145" s="11" t="s">
        <v>121</v>
      </c>
      <c r="K145" s="11" t="n">
        <v>5</v>
      </c>
      <c r="L145" s="11" t="s">
        <v>939</v>
      </c>
      <c r="M145" s="11" t="s">
        <v>940</v>
      </c>
      <c r="N145" s="11"/>
      <c r="O145" s="11"/>
      <c r="P145" s="11"/>
      <c r="Q145" s="11"/>
      <c r="R145" s="11" t="s">
        <v>60</v>
      </c>
      <c r="S145" s="11"/>
      <c r="T145" s="11"/>
      <c r="U145" s="11" t="s">
        <v>941</v>
      </c>
    </row>
    <row r="146" customFormat="false" ht="23.85" hidden="false" customHeight="false" outlineLevel="0" collapsed="false">
      <c r="A146" s="11" t="s">
        <v>942</v>
      </c>
      <c r="B146" s="11" t="s">
        <v>936</v>
      </c>
      <c r="C146" s="12" t="s">
        <v>943</v>
      </c>
      <c r="D146" s="11" t="s">
        <v>52</v>
      </c>
      <c r="E146" s="11" t="s">
        <v>102</v>
      </c>
      <c r="F146" s="11" t="s">
        <v>944</v>
      </c>
      <c r="G146" s="11" t="s">
        <v>66</v>
      </c>
      <c r="H146" s="11" t="n">
        <v>3</v>
      </c>
      <c r="I146" s="11" t="s">
        <v>19</v>
      </c>
      <c r="J146" s="11" t="s">
        <v>121</v>
      </c>
      <c r="K146" s="11" t="n">
        <v>5</v>
      </c>
      <c r="L146" s="11" t="s">
        <v>945</v>
      </c>
      <c r="M146" s="11" t="s">
        <v>946</v>
      </c>
      <c r="N146" s="11" t="s">
        <v>153</v>
      </c>
      <c r="O146" s="11" t="s">
        <v>154</v>
      </c>
      <c r="P146" s="11"/>
      <c r="Q146" s="11"/>
      <c r="R146" s="11" t="s">
        <v>60</v>
      </c>
      <c r="S146" s="11"/>
      <c r="T146" s="11"/>
      <c r="U146" s="11" t="s">
        <v>331</v>
      </c>
    </row>
    <row r="147" customFormat="false" ht="23.85" hidden="false" customHeight="false" outlineLevel="0" collapsed="false">
      <c r="A147" s="11" t="s">
        <v>947</v>
      </c>
      <c r="B147" s="11" t="s">
        <v>936</v>
      </c>
      <c r="C147" s="12" t="s">
        <v>948</v>
      </c>
      <c r="D147" s="11" t="s">
        <v>52</v>
      </c>
      <c r="E147" s="11" t="s">
        <v>102</v>
      </c>
      <c r="F147" s="11" t="s">
        <v>54</v>
      </c>
      <c r="G147" s="11" t="s">
        <v>54</v>
      </c>
      <c r="H147" s="11" t="n">
        <v>3</v>
      </c>
      <c r="I147" s="11" t="s">
        <v>18</v>
      </c>
      <c r="J147" s="11" t="s">
        <v>55</v>
      </c>
      <c r="K147" s="11" t="n">
        <v>8</v>
      </c>
      <c r="L147" s="11" t="s">
        <v>949</v>
      </c>
      <c r="M147" s="11" t="s">
        <v>950</v>
      </c>
      <c r="N147" s="11"/>
      <c r="O147" s="11"/>
      <c r="P147" s="11"/>
      <c r="Q147" s="11"/>
      <c r="R147" s="11" t="s">
        <v>60</v>
      </c>
      <c r="S147" s="11"/>
      <c r="T147" s="11"/>
      <c r="U147" s="11"/>
    </row>
    <row r="148" customFormat="false" ht="35.05" hidden="false" customHeight="false" outlineLevel="0" collapsed="false">
      <c r="A148" s="11" t="s">
        <v>951</v>
      </c>
      <c r="B148" s="11" t="s">
        <v>936</v>
      </c>
      <c r="C148" s="12" t="s">
        <v>952</v>
      </c>
      <c r="D148" s="11" t="s">
        <v>52</v>
      </c>
      <c r="E148" s="11" t="s">
        <v>102</v>
      </c>
      <c r="F148" s="11" t="s">
        <v>953</v>
      </c>
      <c r="G148" s="11" t="s">
        <v>954</v>
      </c>
      <c r="H148" s="11" t="n">
        <v>1</v>
      </c>
      <c r="I148" s="11" t="s">
        <v>18</v>
      </c>
      <c r="J148" s="11" t="s">
        <v>55</v>
      </c>
      <c r="K148" s="11" t="n">
        <v>3</v>
      </c>
      <c r="L148" s="11" t="s">
        <v>955</v>
      </c>
      <c r="M148" s="11" t="s">
        <v>956</v>
      </c>
      <c r="N148" s="11"/>
      <c r="O148" s="11"/>
      <c r="P148" s="11"/>
      <c r="Q148" s="11"/>
      <c r="R148" s="11" t="s">
        <v>60</v>
      </c>
      <c r="S148" s="11"/>
      <c r="T148" s="11"/>
      <c r="U148" s="11"/>
    </row>
  </sheetData>
  <autoFilter ref="A1:U148"/>
  <dataValidations count="1">
    <dataValidation allowBlank="false" errorStyle="stop" operator="between" showDropDown="false" showErrorMessage="false" showInputMessage="false" sqref="R2:R148" type="list">
      <formula1>"To do,In progress,In 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A1" s="4" t="s">
        <v>29</v>
      </c>
      <c r="B1" s="4" t="s">
        <v>13</v>
      </c>
      <c r="C1" s="4" t="s">
        <v>14</v>
      </c>
      <c r="D1" s="4" t="s">
        <v>18</v>
      </c>
      <c r="E1" s="4" t="s">
        <v>19</v>
      </c>
      <c r="F1" s="4" t="s">
        <v>20</v>
      </c>
      <c r="G1" s="4" t="s">
        <v>15</v>
      </c>
      <c r="H1" s="4" t="s">
        <v>957</v>
      </c>
    </row>
    <row r="2" customFormat="false" ht="15" hidden="false" customHeight="false" outlineLevel="0" collapsed="false">
      <c r="A2" s="13" t="s">
        <v>50</v>
      </c>
      <c r="B2" s="13" t="n">
        <f aca="false">COUNTIF(Tickets!$B$2:$B$148,A2)</f>
        <v>6</v>
      </c>
      <c r="C2" s="13" t="n">
        <f aca="false">SUMIF(Tickets!$B$2:$B$148,A2,Tickets!$K$2:$K$148)</f>
        <v>16</v>
      </c>
      <c r="D2" s="13" t="n">
        <f aca="false">COUNTIFS(Tickets!$B$2:$B$148,A2,Tickets!$I$2:$I$148,"P0")</f>
        <v>6</v>
      </c>
      <c r="E2" s="13" t="n">
        <f aca="false">COUNTIFS(Tickets!$B$2:$B$148,A2,Tickets!$I$2:$I$148,"P1")</f>
        <v>0</v>
      </c>
      <c r="F2" s="13" t="n">
        <f aca="false">COUNTIFS(Tickets!$B$2:$B$148,A2,Tickets!$I$2:$I$148,"P2")</f>
        <v>0</v>
      </c>
      <c r="G2" s="13" t="n">
        <f aca="false">COUNTIFS(Tickets!$B$2:$B$148,A2,Tickets!$R$2:$R$148,"Done")</f>
        <v>0</v>
      </c>
      <c r="H2" s="14" t="n">
        <f aca="false">IF(B2=0,0,G2/B2)</f>
        <v>0</v>
      </c>
    </row>
    <row r="3" customFormat="false" ht="15" hidden="false" customHeight="false" outlineLevel="0" collapsed="false">
      <c r="A3" s="13" t="s">
        <v>107</v>
      </c>
      <c r="B3" s="13" t="n">
        <f aca="false">COUNTIF(Tickets!$B$2:$B$148,A3)</f>
        <v>16</v>
      </c>
      <c r="C3" s="13" t="n">
        <f aca="false">SUMIF(Tickets!$B$2:$B$148,A3,Tickets!$K$2:$K$148)</f>
        <v>72</v>
      </c>
      <c r="D3" s="13" t="n">
        <f aca="false">COUNTIFS(Tickets!$B$2:$B$148,A3,Tickets!$I$2:$I$148,"P0")</f>
        <v>11</v>
      </c>
      <c r="E3" s="13" t="n">
        <f aca="false">COUNTIFS(Tickets!$B$2:$B$148,A3,Tickets!$I$2:$I$148,"P1")</f>
        <v>5</v>
      </c>
      <c r="F3" s="13" t="n">
        <f aca="false">COUNTIFS(Tickets!$B$2:$B$148,A3,Tickets!$I$2:$I$148,"P2")</f>
        <v>0</v>
      </c>
      <c r="G3" s="13" t="n">
        <f aca="false">COUNTIFS(Tickets!$B$2:$B$148,A3,Tickets!$R$2:$R$148,"Done")</f>
        <v>0</v>
      </c>
      <c r="H3" s="14" t="n">
        <f aca="false">IF(B3=0,0,G3/B3)</f>
        <v>0</v>
      </c>
    </row>
    <row r="4" customFormat="false" ht="15" hidden="false" customHeight="false" outlineLevel="0" collapsed="false">
      <c r="A4" s="13" t="s">
        <v>204</v>
      </c>
      <c r="B4" s="13" t="n">
        <f aca="false">COUNTIF(Tickets!$B$2:$B$148,A4)</f>
        <v>11</v>
      </c>
      <c r="C4" s="13" t="n">
        <f aca="false">SUMIF(Tickets!$B$2:$B$148,A4,Tickets!$K$2:$K$148)</f>
        <v>58</v>
      </c>
      <c r="D4" s="13" t="n">
        <f aca="false">COUNTIFS(Tickets!$B$2:$B$148,A4,Tickets!$I$2:$I$148,"P0")</f>
        <v>7</v>
      </c>
      <c r="E4" s="13" t="n">
        <f aca="false">COUNTIFS(Tickets!$B$2:$B$148,A4,Tickets!$I$2:$I$148,"P1")</f>
        <v>4</v>
      </c>
      <c r="F4" s="13" t="n">
        <f aca="false">COUNTIFS(Tickets!$B$2:$B$148,A4,Tickets!$I$2:$I$148,"P2")</f>
        <v>0</v>
      </c>
      <c r="G4" s="13" t="n">
        <f aca="false">COUNTIFS(Tickets!$B$2:$B$148,A4,Tickets!$R$2:$R$148,"Done")</f>
        <v>0</v>
      </c>
      <c r="H4" s="14" t="n">
        <f aca="false">IF(B4=0,0,G4/B4)</f>
        <v>0</v>
      </c>
    </row>
    <row r="5" customFormat="false" ht="15" hidden="false" customHeight="false" outlineLevel="0" collapsed="false">
      <c r="A5" s="13" t="s">
        <v>285</v>
      </c>
      <c r="B5" s="13" t="n">
        <f aca="false">COUNTIF(Tickets!$B$2:$B$148,A5)</f>
        <v>16</v>
      </c>
      <c r="C5" s="13" t="n">
        <f aca="false">SUMIF(Tickets!$B$2:$B$148,A5,Tickets!$K$2:$K$148)</f>
        <v>92</v>
      </c>
      <c r="D5" s="13" t="n">
        <f aca="false">COUNTIFS(Tickets!$B$2:$B$148,A5,Tickets!$I$2:$I$148,"P0")</f>
        <v>9</v>
      </c>
      <c r="E5" s="13" t="n">
        <f aca="false">COUNTIFS(Tickets!$B$2:$B$148,A5,Tickets!$I$2:$I$148,"P1")</f>
        <v>5</v>
      </c>
      <c r="F5" s="13" t="n">
        <f aca="false">COUNTIFS(Tickets!$B$2:$B$148,A5,Tickets!$I$2:$I$148,"P2")</f>
        <v>2</v>
      </c>
      <c r="G5" s="13" t="n">
        <f aca="false">COUNTIFS(Tickets!$B$2:$B$148,A5,Tickets!$R$2:$R$148,"Done")</f>
        <v>0</v>
      </c>
      <c r="H5" s="14" t="n">
        <f aca="false">IF(B5=0,0,G5/B5)</f>
        <v>0</v>
      </c>
    </row>
    <row r="6" customFormat="false" ht="15" hidden="false" customHeight="false" outlineLevel="0" collapsed="false">
      <c r="A6" s="13" t="s">
        <v>382</v>
      </c>
      <c r="B6" s="13" t="n">
        <f aca="false">COUNTIF(Tickets!$B$2:$B$148,A6)</f>
        <v>12</v>
      </c>
      <c r="C6" s="13" t="n">
        <f aca="false">SUMIF(Tickets!$B$2:$B$148,A6,Tickets!$K$2:$K$148)</f>
        <v>59</v>
      </c>
      <c r="D6" s="13" t="n">
        <f aca="false">COUNTIFS(Tickets!$B$2:$B$148,A6,Tickets!$I$2:$I$148,"P0")</f>
        <v>7</v>
      </c>
      <c r="E6" s="13" t="n">
        <f aca="false">COUNTIFS(Tickets!$B$2:$B$148,A6,Tickets!$I$2:$I$148,"P1")</f>
        <v>4</v>
      </c>
      <c r="F6" s="13" t="n">
        <f aca="false">COUNTIFS(Tickets!$B$2:$B$148,A6,Tickets!$I$2:$I$148,"P2")</f>
        <v>1</v>
      </c>
      <c r="G6" s="13" t="n">
        <f aca="false">COUNTIFS(Tickets!$B$2:$B$148,A6,Tickets!$R$2:$R$148,"Done")</f>
        <v>0</v>
      </c>
      <c r="H6" s="14" t="n">
        <f aca="false">IF(B6=0,0,G6/B6)</f>
        <v>0</v>
      </c>
    </row>
    <row r="7" customFormat="false" ht="15" hidden="false" customHeight="false" outlineLevel="0" collapsed="false">
      <c r="A7" s="13" t="s">
        <v>458</v>
      </c>
      <c r="B7" s="13" t="n">
        <f aca="false">COUNTIF(Tickets!$B$2:$B$148,A7)</f>
        <v>6</v>
      </c>
      <c r="C7" s="13" t="n">
        <f aca="false">SUMIF(Tickets!$B$2:$B$148,A7,Tickets!$K$2:$K$148)</f>
        <v>33</v>
      </c>
      <c r="D7" s="13" t="n">
        <f aca="false">COUNTIFS(Tickets!$B$2:$B$148,A7,Tickets!$I$2:$I$148,"P0")</f>
        <v>4</v>
      </c>
      <c r="E7" s="13" t="n">
        <f aca="false">COUNTIFS(Tickets!$B$2:$B$148,A7,Tickets!$I$2:$I$148,"P1")</f>
        <v>2</v>
      </c>
      <c r="F7" s="13" t="n">
        <f aca="false">COUNTIFS(Tickets!$B$2:$B$148,A7,Tickets!$I$2:$I$148,"P2")</f>
        <v>0</v>
      </c>
      <c r="G7" s="13" t="n">
        <f aca="false">COUNTIFS(Tickets!$B$2:$B$148,A7,Tickets!$R$2:$R$148,"Done")</f>
        <v>0</v>
      </c>
      <c r="H7" s="14" t="n">
        <f aca="false">IF(B7=0,0,G7/B7)</f>
        <v>0</v>
      </c>
    </row>
    <row r="8" customFormat="false" ht="15" hidden="false" customHeight="false" outlineLevel="0" collapsed="false">
      <c r="A8" s="13" t="s">
        <v>497</v>
      </c>
      <c r="B8" s="13" t="n">
        <f aca="false">COUNTIF(Tickets!$B$2:$B$148,A8)</f>
        <v>5</v>
      </c>
      <c r="C8" s="13" t="n">
        <f aca="false">SUMIF(Tickets!$B$2:$B$148,A8,Tickets!$K$2:$K$148)</f>
        <v>21</v>
      </c>
      <c r="D8" s="13" t="n">
        <f aca="false">COUNTIFS(Tickets!$B$2:$B$148,A8,Tickets!$I$2:$I$148,"P0")</f>
        <v>3</v>
      </c>
      <c r="E8" s="13" t="n">
        <f aca="false">COUNTIFS(Tickets!$B$2:$B$148,A8,Tickets!$I$2:$I$148,"P1")</f>
        <v>1</v>
      </c>
      <c r="F8" s="13" t="n">
        <f aca="false">COUNTIFS(Tickets!$B$2:$B$148,A8,Tickets!$I$2:$I$148,"P2")</f>
        <v>1</v>
      </c>
      <c r="G8" s="13" t="n">
        <f aca="false">COUNTIFS(Tickets!$B$2:$B$148,A8,Tickets!$R$2:$R$148,"Done")</f>
        <v>0</v>
      </c>
      <c r="H8" s="14" t="n">
        <f aca="false">IF(B8=0,0,G8/B8)</f>
        <v>0</v>
      </c>
    </row>
    <row r="9" customFormat="false" ht="15" hidden="false" customHeight="false" outlineLevel="0" collapsed="false">
      <c r="A9" s="13" t="s">
        <v>525</v>
      </c>
      <c r="B9" s="13" t="n">
        <f aca="false">COUNTIF(Tickets!$B$2:$B$148,A9)</f>
        <v>6</v>
      </c>
      <c r="C9" s="13" t="n">
        <f aca="false">SUMIF(Tickets!$B$2:$B$148,A9,Tickets!$K$2:$K$148)</f>
        <v>42</v>
      </c>
      <c r="D9" s="13" t="n">
        <f aca="false">COUNTIFS(Tickets!$B$2:$B$148,A9,Tickets!$I$2:$I$148,"P0")</f>
        <v>4</v>
      </c>
      <c r="E9" s="13" t="n">
        <f aca="false">COUNTIFS(Tickets!$B$2:$B$148,A9,Tickets!$I$2:$I$148,"P1")</f>
        <v>2</v>
      </c>
      <c r="F9" s="13" t="n">
        <f aca="false">COUNTIFS(Tickets!$B$2:$B$148,A9,Tickets!$I$2:$I$148,"P2")</f>
        <v>0</v>
      </c>
      <c r="G9" s="13" t="n">
        <f aca="false">COUNTIFS(Tickets!$B$2:$B$148,A9,Tickets!$R$2:$R$148,"Done")</f>
        <v>0</v>
      </c>
      <c r="H9" s="14" t="n">
        <f aca="false">IF(B9=0,0,G9/B9)</f>
        <v>0</v>
      </c>
    </row>
    <row r="10" customFormat="false" ht="15" hidden="false" customHeight="false" outlineLevel="0" collapsed="false">
      <c r="A10" s="13" t="s">
        <v>558</v>
      </c>
      <c r="B10" s="13" t="n">
        <f aca="false">COUNTIF(Tickets!$B$2:$B$148,A10)</f>
        <v>11</v>
      </c>
      <c r="C10" s="13" t="n">
        <f aca="false">SUMIF(Tickets!$B$2:$B$148,A10,Tickets!$K$2:$K$148)</f>
        <v>74</v>
      </c>
      <c r="D10" s="13" t="n">
        <f aca="false">COUNTIFS(Tickets!$B$2:$B$148,A10,Tickets!$I$2:$I$148,"P0")</f>
        <v>10</v>
      </c>
      <c r="E10" s="13" t="n">
        <f aca="false">COUNTIFS(Tickets!$B$2:$B$148,A10,Tickets!$I$2:$I$148,"P1")</f>
        <v>1</v>
      </c>
      <c r="F10" s="13" t="n">
        <f aca="false">COUNTIFS(Tickets!$B$2:$B$148,A10,Tickets!$I$2:$I$148,"P2")</f>
        <v>0</v>
      </c>
      <c r="G10" s="13" t="n">
        <f aca="false">COUNTIFS(Tickets!$B$2:$B$148,A10,Tickets!$R$2:$R$148,"Done")</f>
        <v>0</v>
      </c>
      <c r="H10" s="14" t="n">
        <f aca="false">IF(B10=0,0,G10/B10)</f>
        <v>0</v>
      </c>
    </row>
    <row r="11" customFormat="false" ht="15" hidden="false" customHeight="false" outlineLevel="0" collapsed="false">
      <c r="A11" s="13" t="s">
        <v>628</v>
      </c>
      <c r="B11" s="13" t="n">
        <f aca="false">COUNTIF(Tickets!$B$2:$B$148,A11)</f>
        <v>15</v>
      </c>
      <c r="C11" s="13" t="n">
        <f aca="false">SUMIF(Tickets!$B$2:$B$148,A11,Tickets!$K$2:$K$148)</f>
        <v>81</v>
      </c>
      <c r="D11" s="13" t="n">
        <f aca="false">COUNTIFS(Tickets!$B$2:$B$148,A11,Tickets!$I$2:$I$148,"P0")</f>
        <v>5</v>
      </c>
      <c r="E11" s="13" t="n">
        <f aca="false">COUNTIFS(Tickets!$B$2:$B$148,A11,Tickets!$I$2:$I$148,"P1")</f>
        <v>7</v>
      </c>
      <c r="F11" s="13" t="n">
        <f aca="false">COUNTIFS(Tickets!$B$2:$B$148,A11,Tickets!$I$2:$I$148,"P2")</f>
        <v>3</v>
      </c>
      <c r="G11" s="13" t="n">
        <f aca="false">COUNTIFS(Tickets!$B$2:$B$148,A11,Tickets!$R$2:$R$148,"Done")</f>
        <v>0</v>
      </c>
      <c r="H11" s="14" t="n">
        <f aca="false">IF(B11=0,0,G11/B11)</f>
        <v>0</v>
      </c>
    </row>
    <row r="12" customFormat="false" ht="15" hidden="false" customHeight="false" outlineLevel="0" collapsed="false">
      <c r="A12" s="13" t="s">
        <v>713</v>
      </c>
      <c r="B12" s="13" t="n">
        <f aca="false">COUNTIF(Tickets!$B$2:$B$148,A12)</f>
        <v>10</v>
      </c>
      <c r="C12" s="13" t="n">
        <f aca="false">SUMIF(Tickets!$B$2:$B$148,A12,Tickets!$K$2:$K$148)</f>
        <v>57</v>
      </c>
      <c r="D12" s="13" t="n">
        <f aca="false">COUNTIFS(Tickets!$B$2:$B$148,A12,Tickets!$I$2:$I$148,"P0")</f>
        <v>5</v>
      </c>
      <c r="E12" s="13" t="n">
        <f aca="false">COUNTIFS(Tickets!$B$2:$B$148,A12,Tickets!$I$2:$I$148,"P1")</f>
        <v>3</v>
      </c>
      <c r="F12" s="13" t="n">
        <f aca="false">COUNTIFS(Tickets!$B$2:$B$148,A12,Tickets!$I$2:$I$148,"P2")</f>
        <v>2</v>
      </c>
      <c r="G12" s="13" t="n">
        <f aca="false">COUNTIFS(Tickets!$B$2:$B$148,A12,Tickets!$R$2:$R$148,"Done")</f>
        <v>0</v>
      </c>
      <c r="H12" s="14" t="n">
        <f aca="false">IF(B12=0,0,G12/B12)</f>
        <v>0</v>
      </c>
    </row>
    <row r="13" customFormat="false" ht="15" hidden="false" customHeight="false" outlineLevel="0" collapsed="false">
      <c r="A13" s="13" t="s">
        <v>774</v>
      </c>
      <c r="B13" s="13" t="n">
        <f aca="false">COUNTIF(Tickets!$B$2:$B$148,A13)</f>
        <v>13</v>
      </c>
      <c r="C13" s="13" t="n">
        <f aca="false">SUMIF(Tickets!$B$2:$B$148,A13,Tickets!$K$2:$K$148)</f>
        <v>73</v>
      </c>
      <c r="D13" s="13" t="n">
        <f aca="false">COUNTIFS(Tickets!$B$2:$B$148,A13,Tickets!$I$2:$I$148,"P0")</f>
        <v>8</v>
      </c>
      <c r="E13" s="13" t="n">
        <f aca="false">COUNTIFS(Tickets!$B$2:$B$148,A13,Tickets!$I$2:$I$148,"P1")</f>
        <v>5</v>
      </c>
      <c r="F13" s="13" t="n">
        <f aca="false">COUNTIFS(Tickets!$B$2:$B$148,A13,Tickets!$I$2:$I$148,"P2")</f>
        <v>0</v>
      </c>
      <c r="G13" s="13" t="n">
        <f aca="false">COUNTIFS(Tickets!$B$2:$B$148,A13,Tickets!$R$2:$R$148,"Done")</f>
        <v>0</v>
      </c>
      <c r="H13" s="14" t="n">
        <f aca="false">IF(B13=0,0,G13/B13)</f>
        <v>0</v>
      </c>
    </row>
    <row r="14" customFormat="false" ht="15" hidden="false" customHeight="false" outlineLevel="0" collapsed="false">
      <c r="A14" s="13" t="s">
        <v>850</v>
      </c>
      <c r="B14" s="13" t="n">
        <f aca="false">COUNTIF(Tickets!$B$2:$B$148,A14)</f>
        <v>16</v>
      </c>
      <c r="C14" s="13" t="n">
        <f aca="false">SUMIF(Tickets!$B$2:$B$148,A14,Tickets!$K$2:$K$148)</f>
        <v>86</v>
      </c>
      <c r="D14" s="13" t="n">
        <f aca="false">COUNTIFS(Tickets!$B$2:$B$148,A14,Tickets!$I$2:$I$148,"P0")</f>
        <v>9</v>
      </c>
      <c r="E14" s="13" t="n">
        <f aca="false">COUNTIFS(Tickets!$B$2:$B$148,A14,Tickets!$I$2:$I$148,"P1")</f>
        <v>5</v>
      </c>
      <c r="F14" s="13" t="n">
        <f aca="false">COUNTIFS(Tickets!$B$2:$B$148,A14,Tickets!$I$2:$I$148,"P2")</f>
        <v>2</v>
      </c>
      <c r="G14" s="13" t="n">
        <f aca="false">COUNTIFS(Tickets!$B$2:$B$148,A14,Tickets!$R$2:$R$148,"Done")</f>
        <v>0</v>
      </c>
      <c r="H14" s="14" t="n">
        <f aca="false">IF(B14=0,0,G14/B14)</f>
        <v>0</v>
      </c>
    </row>
    <row r="15" customFormat="false" ht="15" hidden="false" customHeight="false" outlineLevel="0" collapsed="false">
      <c r="A15" s="13" t="s">
        <v>936</v>
      </c>
      <c r="B15" s="13" t="n">
        <f aca="false">COUNTIF(Tickets!$B$2:$B$148,A15)</f>
        <v>4</v>
      </c>
      <c r="C15" s="13" t="n">
        <f aca="false">SUMIF(Tickets!$B$2:$B$148,A15,Tickets!$K$2:$K$148)</f>
        <v>21</v>
      </c>
      <c r="D15" s="13" t="n">
        <f aca="false">COUNTIFS(Tickets!$B$2:$B$148,A15,Tickets!$I$2:$I$148,"P0")</f>
        <v>2</v>
      </c>
      <c r="E15" s="13" t="n">
        <f aca="false">COUNTIFS(Tickets!$B$2:$B$148,A15,Tickets!$I$2:$I$148,"P1")</f>
        <v>2</v>
      </c>
      <c r="F15" s="13" t="n">
        <f aca="false">COUNTIFS(Tickets!$B$2:$B$148,A15,Tickets!$I$2:$I$148,"P2")</f>
        <v>0</v>
      </c>
      <c r="G15" s="13" t="n">
        <f aca="false">COUNTIFS(Tickets!$B$2:$B$148,A15,Tickets!$R$2:$R$148,"Done")</f>
        <v>0</v>
      </c>
      <c r="H15" s="14" t="n">
        <f aca="false">IF(B15=0,0,G15/B15)</f>
        <v>0</v>
      </c>
    </row>
    <row r="16" customFormat="false" ht="15" hidden="false" customHeight="false" outlineLevel="0" collapsed="false">
      <c r="A16" s="6" t="s">
        <v>21</v>
      </c>
      <c r="B16" s="6" t="n">
        <f aca="false">SUM(B2:B15)</f>
        <v>147</v>
      </c>
      <c r="C16" s="6" t="n">
        <f aca="false">SUM(C2:C15)</f>
        <v>785</v>
      </c>
      <c r="D16" s="6" t="n">
        <f aca="false">SUM(D2:D15)</f>
        <v>90</v>
      </c>
      <c r="E16" s="6" t="n">
        <f aca="false">SUM(E2:E15)</f>
        <v>46</v>
      </c>
      <c r="F16" s="6" t="n">
        <f aca="false">SUM(F2:F15)</f>
        <v>11</v>
      </c>
      <c r="G16" s="6" t="n">
        <f aca="false">SUM(G2:G15)</f>
        <v>0</v>
      </c>
      <c r="H16" s="14" t="n">
        <f aca="false">IF(B16=0,0,G16/B16)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4" t="s">
        <v>34</v>
      </c>
      <c r="B1" s="4" t="s">
        <v>958</v>
      </c>
      <c r="C1" s="4" t="s">
        <v>959</v>
      </c>
      <c r="D1" s="4" t="s">
        <v>960</v>
      </c>
    </row>
    <row r="2" customFormat="false" ht="15" hidden="false" customHeight="false" outlineLevel="0" collapsed="false">
      <c r="A2" s="8" t="s">
        <v>208</v>
      </c>
      <c r="B2" s="8" t="s">
        <v>961</v>
      </c>
      <c r="C2" s="8"/>
      <c r="D2" s="8" t="s">
        <v>557</v>
      </c>
    </row>
    <row r="3" customFormat="false" ht="15" hidden="false" customHeight="false" outlineLevel="0" collapsed="false">
      <c r="A3" s="8" t="s">
        <v>208</v>
      </c>
      <c r="B3" s="8" t="s">
        <v>962</v>
      </c>
      <c r="C3" s="8" t="s">
        <v>963</v>
      </c>
      <c r="D3" s="8" t="s">
        <v>203</v>
      </c>
    </row>
    <row r="4" customFormat="false" ht="15" hidden="false" customHeight="false" outlineLevel="0" collapsed="false">
      <c r="A4" s="8" t="s">
        <v>208</v>
      </c>
      <c r="B4" s="8" t="s">
        <v>964</v>
      </c>
      <c r="C4" s="8" t="s">
        <v>965</v>
      </c>
      <c r="D4" s="8" t="s">
        <v>203</v>
      </c>
    </row>
    <row r="5" customFormat="false" ht="15" hidden="false" customHeight="false" outlineLevel="0" collapsed="false">
      <c r="A5" s="8" t="s">
        <v>208</v>
      </c>
      <c r="B5" s="8" t="s">
        <v>966</v>
      </c>
      <c r="C5" s="8" t="s">
        <v>967</v>
      </c>
      <c r="D5" s="8" t="s">
        <v>203</v>
      </c>
    </row>
    <row r="6" customFormat="false" ht="15" hidden="false" customHeight="false" outlineLevel="0" collapsed="false">
      <c r="A6" s="8" t="s">
        <v>208</v>
      </c>
      <c r="B6" s="8" t="s">
        <v>968</v>
      </c>
      <c r="C6" s="8" t="s">
        <v>969</v>
      </c>
      <c r="D6" s="8" t="s">
        <v>211</v>
      </c>
    </row>
    <row r="7" customFormat="false" ht="15" hidden="false" customHeight="false" outlineLevel="0" collapsed="false">
      <c r="A7" s="8" t="s">
        <v>208</v>
      </c>
      <c r="B7" s="8" t="s">
        <v>970</v>
      </c>
      <c r="C7" s="8" t="s">
        <v>971</v>
      </c>
      <c r="D7" s="8" t="s">
        <v>211</v>
      </c>
    </row>
    <row r="8" customFormat="false" ht="15" hidden="false" customHeight="false" outlineLevel="0" collapsed="false">
      <c r="A8" s="8" t="s">
        <v>208</v>
      </c>
      <c r="B8" s="8" t="s">
        <v>972</v>
      </c>
      <c r="C8" s="8" t="s">
        <v>973</v>
      </c>
      <c r="D8" s="8" t="s">
        <v>211</v>
      </c>
    </row>
    <row r="9" customFormat="false" ht="15" hidden="false" customHeight="false" outlineLevel="0" collapsed="false">
      <c r="A9" s="8" t="s">
        <v>208</v>
      </c>
      <c r="B9" s="8" t="s">
        <v>974</v>
      </c>
      <c r="C9" s="8" t="s">
        <v>975</v>
      </c>
      <c r="D9" s="8" t="s">
        <v>976</v>
      </c>
    </row>
    <row r="10" customFormat="false" ht="15" hidden="false" customHeight="false" outlineLevel="0" collapsed="false">
      <c r="A10" s="8" t="s">
        <v>208</v>
      </c>
      <c r="B10" s="8" t="s">
        <v>977</v>
      </c>
      <c r="C10" s="8" t="s">
        <v>978</v>
      </c>
      <c r="D10" s="8" t="s">
        <v>979</v>
      </c>
    </row>
    <row r="11" customFormat="false" ht="15" hidden="false" customHeight="false" outlineLevel="0" collapsed="false">
      <c r="A11" s="8" t="s">
        <v>208</v>
      </c>
      <c r="B11" s="8" t="s">
        <v>980</v>
      </c>
      <c r="C11" s="8" t="s">
        <v>981</v>
      </c>
      <c r="D11" s="8" t="s">
        <v>982</v>
      </c>
    </row>
    <row r="12" customFormat="false" ht="15" hidden="false" customHeight="false" outlineLevel="0" collapsed="false">
      <c r="A12" s="8" t="s">
        <v>208</v>
      </c>
      <c r="B12" s="8" t="s">
        <v>983</v>
      </c>
      <c r="C12" s="8" t="s">
        <v>984</v>
      </c>
      <c r="D12" s="8" t="s">
        <v>225</v>
      </c>
    </row>
    <row r="13" customFormat="false" ht="15" hidden="false" customHeight="false" outlineLevel="0" collapsed="false">
      <c r="A13" s="8" t="s">
        <v>208</v>
      </c>
      <c r="B13" s="8" t="s">
        <v>985</v>
      </c>
      <c r="C13" s="8" t="s">
        <v>986</v>
      </c>
      <c r="D13" s="8" t="s">
        <v>225</v>
      </c>
    </row>
    <row r="14" customFormat="false" ht="15" hidden="false" customHeight="false" outlineLevel="0" collapsed="false">
      <c r="A14" s="8" t="s">
        <v>208</v>
      </c>
      <c r="B14" s="8" t="s">
        <v>987</v>
      </c>
      <c r="C14" s="8" t="s">
        <v>988</v>
      </c>
      <c r="D14" s="8" t="s">
        <v>989</v>
      </c>
    </row>
    <row r="15" customFormat="false" ht="15" hidden="false" customHeight="false" outlineLevel="0" collapsed="false">
      <c r="A15" s="8" t="s">
        <v>208</v>
      </c>
      <c r="B15" s="8" t="s">
        <v>990</v>
      </c>
      <c r="C15" s="8" t="s">
        <v>991</v>
      </c>
      <c r="D15" s="8" t="s">
        <v>225</v>
      </c>
    </row>
    <row r="16" customFormat="false" ht="15" hidden="false" customHeight="false" outlineLevel="0" collapsed="false">
      <c r="A16" s="8" t="s">
        <v>208</v>
      </c>
      <c r="B16" s="8" t="s">
        <v>992</v>
      </c>
      <c r="C16" s="8" t="s">
        <v>993</v>
      </c>
      <c r="D16" s="8" t="s">
        <v>269</v>
      </c>
    </row>
    <row r="17" customFormat="false" ht="15" hidden="false" customHeight="false" outlineLevel="0" collapsed="false">
      <c r="A17" s="8" t="s">
        <v>208</v>
      </c>
      <c r="B17" s="8" t="s">
        <v>243</v>
      </c>
      <c r="C17" s="8" t="s">
        <v>242</v>
      </c>
      <c r="D17" s="8" t="s">
        <v>241</v>
      </c>
    </row>
    <row r="18" customFormat="false" ht="15" hidden="false" customHeight="false" outlineLevel="0" collapsed="false">
      <c r="A18" s="8" t="s">
        <v>208</v>
      </c>
      <c r="B18" s="8" t="s">
        <v>234</v>
      </c>
      <c r="C18" s="8" t="s">
        <v>994</v>
      </c>
      <c r="D18" s="8" t="s">
        <v>995</v>
      </c>
    </row>
    <row r="19" customFormat="false" ht="15" hidden="false" customHeight="false" outlineLevel="0" collapsed="false">
      <c r="A19" s="8" t="s">
        <v>208</v>
      </c>
      <c r="B19" s="8" t="s">
        <v>249</v>
      </c>
      <c r="C19" s="8" t="s">
        <v>996</v>
      </c>
      <c r="D19" s="8" t="s">
        <v>247</v>
      </c>
    </row>
    <row r="20" customFormat="false" ht="15" hidden="false" customHeight="false" outlineLevel="0" collapsed="false">
      <c r="A20" s="8" t="s">
        <v>208</v>
      </c>
      <c r="B20" s="8" t="s">
        <v>256</v>
      </c>
      <c r="C20" s="8" t="s">
        <v>997</v>
      </c>
      <c r="D20" s="8" t="s">
        <v>254</v>
      </c>
    </row>
    <row r="21" customFormat="false" ht="15" hidden="false" customHeight="false" outlineLevel="0" collapsed="false">
      <c r="A21" s="8" t="s">
        <v>208</v>
      </c>
      <c r="B21" s="8" t="s">
        <v>998</v>
      </c>
      <c r="C21" s="8" t="s">
        <v>999</v>
      </c>
      <c r="D21" s="8" t="s">
        <v>269</v>
      </c>
    </row>
    <row r="22" customFormat="false" ht="15" hidden="false" customHeight="false" outlineLevel="0" collapsed="false">
      <c r="A22" s="8" t="s">
        <v>208</v>
      </c>
      <c r="B22" s="8" t="s">
        <v>1000</v>
      </c>
      <c r="C22" s="8" t="s">
        <v>1001</v>
      </c>
      <c r="D22" s="8" t="s">
        <v>260</v>
      </c>
    </row>
    <row r="23" customFormat="false" ht="15" hidden="false" customHeight="false" outlineLevel="0" collapsed="false">
      <c r="A23" s="8" t="s">
        <v>208</v>
      </c>
      <c r="B23" s="8" t="s">
        <v>1002</v>
      </c>
      <c r="C23" s="8" t="s">
        <v>1003</v>
      </c>
      <c r="D23" s="8" t="s">
        <v>260</v>
      </c>
    </row>
    <row r="24" customFormat="false" ht="15" hidden="false" customHeight="false" outlineLevel="0" collapsed="false">
      <c r="A24" s="8" t="s">
        <v>208</v>
      </c>
      <c r="B24" s="8" t="s">
        <v>1004</v>
      </c>
      <c r="C24" s="8" t="s">
        <v>1005</v>
      </c>
      <c r="D24" s="8" t="s">
        <v>275</v>
      </c>
    </row>
    <row r="25" customFormat="false" ht="15" hidden="false" customHeight="false" outlineLevel="0" collapsed="false">
      <c r="A25" s="8" t="s">
        <v>208</v>
      </c>
      <c r="B25" s="8" t="s">
        <v>1006</v>
      </c>
      <c r="C25" s="8" t="s">
        <v>1007</v>
      </c>
      <c r="D25" s="8" t="s">
        <v>275</v>
      </c>
    </row>
    <row r="26" customFormat="false" ht="15" hidden="false" customHeight="false" outlineLevel="0" collapsed="false">
      <c r="A26" s="8" t="s">
        <v>66</v>
      </c>
      <c r="B26" s="8" t="s">
        <v>287</v>
      </c>
      <c r="C26" s="8" t="s">
        <v>286</v>
      </c>
      <c r="D26" s="8" t="s">
        <v>284</v>
      </c>
    </row>
    <row r="27" customFormat="false" ht="15" hidden="false" customHeight="false" outlineLevel="0" collapsed="false">
      <c r="A27" s="8" t="s">
        <v>66</v>
      </c>
      <c r="B27" s="8" t="s">
        <v>1008</v>
      </c>
      <c r="C27" s="8" t="s">
        <v>1009</v>
      </c>
      <c r="D27" s="8" t="s">
        <v>292</v>
      </c>
    </row>
    <row r="28" customFormat="false" ht="15" hidden="false" customHeight="false" outlineLevel="0" collapsed="false">
      <c r="A28" s="8" t="s">
        <v>66</v>
      </c>
      <c r="B28" s="8" t="s">
        <v>1010</v>
      </c>
      <c r="C28" s="8" t="s">
        <v>1011</v>
      </c>
      <c r="D28" s="8" t="s">
        <v>292</v>
      </c>
    </row>
    <row r="29" customFormat="false" ht="15" hidden="false" customHeight="false" outlineLevel="0" collapsed="false">
      <c r="A29" s="8" t="s">
        <v>66</v>
      </c>
      <c r="B29" s="8" t="s">
        <v>1012</v>
      </c>
      <c r="C29" s="8" t="s">
        <v>1013</v>
      </c>
      <c r="D29" s="8" t="s">
        <v>292</v>
      </c>
    </row>
    <row r="30" customFormat="false" ht="15" hidden="false" customHeight="false" outlineLevel="0" collapsed="false">
      <c r="A30" s="8" t="s">
        <v>66</v>
      </c>
      <c r="B30" s="8" t="s">
        <v>1014</v>
      </c>
      <c r="C30" s="8" t="s">
        <v>1015</v>
      </c>
      <c r="D30" s="8" t="s">
        <v>292</v>
      </c>
    </row>
    <row r="31" customFormat="false" ht="15" hidden="false" customHeight="false" outlineLevel="0" collapsed="false">
      <c r="A31" s="8" t="s">
        <v>66</v>
      </c>
      <c r="B31" s="8" t="s">
        <v>1016</v>
      </c>
      <c r="C31" s="8" t="s">
        <v>1017</v>
      </c>
      <c r="D31" s="8" t="s">
        <v>292</v>
      </c>
    </row>
    <row r="32" customFormat="false" ht="15" hidden="false" customHeight="false" outlineLevel="0" collapsed="false">
      <c r="A32" s="8" t="s">
        <v>66</v>
      </c>
      <c r="B32" s="8" t="s">
        <v>1018</v>
      </c>
      <c r="C32" s="8" t="s">
        <v>1019</v>
      </c>
      <c r="D32" s="8" t="s">
        <v>1020</v>
      </c>
    </row>
    <row r="33" customFormat="false" ht="15" hidden="false" customHeight="false" outlineLevel="0" collapsed="false">
      <c r="A33" s="8" t="s">
        <v>66</v>
      </c>
      <c r="B33" s="8" t="s">
        <v>1021</v>
      </c>
      <c r="C33" s="8" t="s">
        <v>1022</v>
      </c>
      <c r="D33" s="8" t="s">
        <v>306</v>
      </c>
    </row>
    <row r="34" customFormat="false" ht="15" hidden="false" customHeight="false" outlineLevel="0" collapsed="false">
      <c r="A34" s="8" t="s">
        <v>66</v>
      </c>
      <c r="B34" s="8" t="s">
        <v>314</v>
      </c>
      <c r="C34" s="8" t="s">
        <v>313</v>
      </c>
      <c r="D34" s="8" t="s">
        <v>312</v>
      </c>
    </row>
    <row r="35" customFormat="false" ht="15" hidden="false" customHeight="false" outlineLevel="0" collapsed="false">
      <c r="A35" s="8" t="s">
        <v>66</v>
      </c>
      <c r="B35" s="8" t="s">
        <v>1023</v>
      </c>
      <c r="C35" s="8" t="s">
        <v>1023</v>
      </c>
      <c r="D35" s="8" t="s">
        <v>1024</v>
      </c>
    </row>
    <row r="36" customFormat="false" ht="15" hidden="false" customHeight="false" outlineLevel="0" collapsed="false">
      <c r="A36" s="8" t="s">
        <v>66</v>
      </c>
      <c r="B36" s="8" t="s">
        <v>328</v>
      </c>
      <c r="C36" s="8" t="s">
        <v>327</v>
      </c>
      <c r="D36" s="8" t="s">
        <v>1025</v>
      </c>
    </row>
    <row r="37" customFormat="false" ht="15" hidden="false" customHeight="false" outlineLevel="0" collapsed="false">
      <c r="A37" s="8" t="s">
        <v>66</v>
      </c>
      <c r="B37" s="8" t="s">
        <v>1026</v>
      </c>
      <c r="C37" s="8" t="s">
        <v>1027</v>
      </c>
      <c r="D37" s="8" t="s">
        <v>1028</v>
      </c>
    </row>
    <row r="38" customFormat="false" ht="15" hidden="false" customHeight="false" outlineLevel="0" collapsed="false">
      <c r="A38" s="8" t="s">
        <v>66</v>
      </c>
      <c r="B38" s="8" t="s">
        <v>340</v>
      </c>
      <c r="C38" s="8" t="s">
        <v>339</v>
      </c>
      <c r="D38" s="8" t="s">
        <v>338</v>
      </c>
    </row>
    <row r="39" customFormat="false" ht="15" hidden="false" customHeight="false" outlineLevel="0" collapsed="false">
      <c r="A39" s="8" t="s">
        <v>66</v>
      </c>
      <c r="B39" s="8" t="s">
        <v>65</v>
      </c>
      <c r="C39" s="8" t="s">
        <v>1029</v>
      </c>
      <c r="D39" s="8" t="s">
        <v>1030</v>
      </c>
    </row>
    <row r="40" customFormat="false" ht="15" hidden="false" customHeight="false" outlineLevel="0" collapsed="false">
      <c r="A40" s="8" t="s">
        <v>66</v>
      </c>
      <c r="B40" s="8" t="s">
        <v>350</v>
      </c>
      <c r="C40" s="8" t="s">
        <v>350</v>
      </c>
      <c r="D40" s="8" t="s">
        <v>349</v>
      </c>
    </row>
    <row r="41" customFormat="false" ht="15" hidden="false" customHeight="false" outlineLevel="0" collapsed="false">
      <c r="A41" s="8" t="s">
        <v>66</v>
      </c>
      <c r="B41" s="8" t="s">
        <v>361</v>
      </c>
      <c r="C41" s="8" t="s">
        <v>1031</v>
      </c>
      <c r="D41" s="8" t="s">
        <v>1032</v>
      </c>
    </row>
    <row r="42" customFormat="false" ht="15" hidden="false" customHeight="false" outlineLevel="0" collapsed="false">
      <c r="A42" s="8" t="s">
        <v>66</v>
      </c>
      <c r="B42" s="8" t="s">
        <v>373</v>
      </c>
      <c r="C42" s="8" t="s">
        <v>1033</v>
      </c>
      <c r="D42" s="8" t="s">
        <v>371</v>
      </c>
    </row>
    <row r="43" customFormat="false" ht="15" hidden="false" customHeight="false" outlineLevel="0" collapsed="false">
      <c r="A43" s="8" t="s">
        <v>66</v>
      </c>
      <c r="B43" s="8" t="s">
        <v>378</v>
      </c>
      <c r="C43" s="8" t="s">
        <v>378</v>
      </c>
      <c r="D43" s="8" t="s">
        <v>376</v>
      </c>
    </row>
    <row r="44" customFormat="false" ht="15" hidden="false" customHeight="false" outlineLevel="0" collapsed="false">
      <c r="A44" s="8" t="s">
        <v>66</v>
      </c>
      <c r="B44" s="8" t="s">
        <v>1034</v>
      </c>
      <c r="C44" s="8" t="s">
        <v>1035</v>
      </c>
      <c r="D44" s="8" t="s">
        <v>1036</v>
      </c>
    </row>
    <row r="45" customFormat="false" ht="15" hidden="false" customHeight="false" outlineLevel="0" collapsed="false">
      <c r="A45" s="8" t="s">
        <v>66</v>
      </c>
      <c r="B45" s="8" t="s">
        <v>390</v>
      </c>
      <c r="C45" s="8" t="s">
        <v>389</v>
      </c>
      <c r="D45" s="8" t="s">
        <v>1037</v>
      </c>
    </row>
    <row r="46" customFormat="false" ht="15" hidden="false" customHeight="false" outlineLevel="0" collapsed="false">
      <c r="A46" s="8" t="s">
        <v>66</v>
      </c>
      <c r="B46" s="8" t="s">
        <v>1038</v>
      </c>
      <c r="C46" s="8" t="s">
        <v>1039</v>
      </c>
      <c r="D46" s="8" t="s">
        <v>457</v>
      </c>
    </row>
    <row r="47" customFormat="false" ht="15" hidden="false" customHeight="false" outlineLevel="0" collapsed="false">
      <c r="A47" s="8" t="s">
        <v>66</v>
      </c>
      <c r="B47" s="8" t="s">
        <v>1040</v>
      </c>
      <c r="C47" s="8" t="s">
        <v>1041</v>
      </c>
      <c r="D47" s="8" t="s">
        <v>457</v>
      </c>
    </row>
    <row r="48" customFormat="false" ht="15" hidden="false" customHeight="false" outlineLevel="0" collapsed="false">
      <c r="A48" s="8" t="s">
        <v>66</v>
      </c>
      <c r="B48" s="8" t="s">
        <v>1042</v>
      </c>
      <c r="C48" s="8" t="s">
        <v>1043</v>
      </c>
      <c r="D48" s="8" t="s">
        <v>457</v>
      </c>
    </row>
    <row r="49" customFormat="false" ht="15" hidden="false" customHeight="false" outlineLevel="0" collapsed="false">
      <c r="A49" s="8" t="s">
        <v>66</v>
      </c>
      <c r="B49" s="8" t="s">
        <v>1044</v>
      </c>
      <c r="C49" s="8" t="s">
        <v>1045</v>
      </c>
      <c r="D49" s="8" t="s">
        <v>298</v>
      </c>
    </row>
    <row r="50" customFormat="false" ht="15" hidden="false" customHeight="false" outlineLevel="0" collapsed="false">
      <c r="A50" s="8" t="s">
        <v>66</v>
      </c>
      <c r="B50" s="8" t="s">
        <v>1046</v>
      </c>
      <c r="C50" s="8" t="s">
        <v>1047</v>
      </c>
      <c r="D50" s="8" t="s">
        <v>465</v>
      </c>
    </row>
    <row r="51" customFormat="false" ht="15" hidden="false" customHeight="false" outlineLevel="0" collapsed="false">
      <c r="A51" s="8" t="s">
        <v>66</v>
      </c>
      <c r="B51" s="8" t="s">
        <v>1048</v>
      </c>
      <c r="C51" s="8" t="s">
        <v>1049</v>
      </c>
      <c r="D51" s="8" t="s">
        <v>465</v>
      </c>
    </row>
    <row r="52" customFormat="false" ht="15" hidden="false" customHeight="false" outlineLevel="0" collapsed="false">
      <c r="A52" s="8" t="s">
        <v>66</v>
      </c>
      <c r="B52" s="8" t="s">
        <v>1050</v>
      </c>
      <c r="C52" s="8" t="s">
        <v>1051</v>
      </c>
      <c r="D52" s="8" t="s">
        <v>465</v>
      </c>
    </row>
    <row r="53" customFormat="false" ht="15" hidden="false" customHeight="false" outlineLevel="0" collapsed="false">
      <c r="A53" s="8" t="s">
        <v>66</v>
      </c>
      <c r="B53" s="8" t="s">
        <v>1052</v>
      </c>
      <c r="C53" s="8" t="s">
        <v>1053</v>
      </c>
      <c r="D53" s="8" t="s">
        <v>465</v>
      </c>
    </row>
    <row r="54" customFormat="false" ht="15" hidden="false" customHeight="false" outlineLevel="0" collapsed="false">
      <c r="A54" s="8" t="s">
        <v>66</v>
      </c>
      <c r="B54" s="8" t="s">
        <v>1054</v>
      </c>
      <c r="C54" s="8" t="s">
        <v>1055</v>
      </c>
      <c r="D54" s="8" t="s">
        <v>473</v>
      </c>
    </row>
    <row r="55" customFormat="false" ht="15" hidden="false" customHeight="false" outlineLevel="0" collapsed="false">
      <c r="A55" s="8" t="s">
        <v>66</v>
      </c>
      <c r="B55" s="8" t="s">
        <v>1056</v>
      </c>
      <c r="C55" s="8" t="s">
        <v>1057</v>
      </c>
      <c r="D55" s="8" t="s">
        <v>1058</v>
      </c>
    </row>
    <row r="56" customFormat="false" ht="15" hidden="false" customHeight="false" outlineLevel="0" collapsed="false">
      <c r="A56" s="8" t="s">
        <v>66</v>
      </c>
      <c r="B56" s="8" t="s">
        <v>481</v>
      </c>
      <c r="C56" s="8" t="s">
        <v>480</v>
      </c>
      <c r="D56" s="8" t="s">
        <v>479</v>
      </c>
    </row>
    <row r="57" customFormat="false" ht="15" hidden="false" customHeight="false" outlineLevel="0" collapsed="false">
      <c r="A57" s="8" t="s">
        <v>66</v>
      </c>
      <c r="B57" s="8" t="s">
        <v>1059</v>
      </c>
      <c r="C57" s="8" t="s">
        <v>1060</v>
      </c>
      <c r="D57" s="8" t="s">
        <v>1061</v>
      </c>
    </row>
    <row r="58" customFormat="false" ht="15" hidden="false" customHeight="false" outlineLevel="0" collapsed="false">
      <c r="A58" s="8" t="s">
        <v>66</v>
      </c>
      <c r="B58" s="8" t="s">
        <v>1062</v>
      </c>
      <c r="C58" s="8" t="s">
        <v>1063</v>
      </c>
      <c r="D58" s="8" t="s">
        <v>496</v>
      </c>
    </row>
    <row r="59" customFormat="false" ht="15" hidden="false" customHeight="false" outlineLevel="0" collapsed="false">
      <c r="A59" s="8" t="s">
        <v>66</v>
      </c>
      <c r="B59" s="8" t="s">
        <v>1064</v>
      </c>
      <c r="C59" s="8" t="s">
        <v>1065</v>
      </c>
      <c r="D59" s="8" t="s">
        <v>496</v>
      </c>
    </row>
    <row r="60" customFormat="false" ht="15" hidden="false" customHeight="false" outlineLevel="0" collapsed="false">
      <c r="A60" s="8" t="s">
        <v>66</v>
      </c>
      <c r="B60" s="8" t="s">
        <v>508</v>
      </c>
      <c r="C60" s="8" t="s">
        <v>1066</v>
      </c>
      <c r="D60" s="8" t="s">
        <v>1067</v>
      </c>
    </row>
    <row r="61" customFormat="false" ht="15" hidden="false" customHeight="false" outlineLevel="0" collapsed="false">
      <c r="A61" s="8" t="s">
        <v>66</v>
      </c>
      <c r="B61" s="8" t="s">
        <v>513</v>
      </c>
      <c r="C61" s="8" t="s">
        <v>1068</v>
      </c>
      <c r="D61" s="8" t="s">
        <v>511</v>
      </c>
    </row>
    <row r="62" customFormat="false" ht="15" hidden="false" customHeight="false" outlineLevel="0" collapsed="false">
      <c r="A62" s="8" t="s">
        <v>66</v>
      </c>
      <c r="B62" s="8" t="s">
        <v>1069</v>
      </c>
      <c r="C62" s="8" t="s">
        <v>1070</v>
      </c>
      <c r="D62" s="8" t="s">
        <v>517</v>
      </c>
    </row>
    <row r="63" customFormat="false" ht="15" hidden="false" customHeight="false" outlineLevel="0" collapsed="false">
      <c r="A63" s="8" t="s">
        <v>66</v>
      </c>
      <c r="B63" s="8" t="s">
        <v>503</v>
      </c>
      <c r="C63" s="8" t="s">
        <v>435</v>
      </c>
      <c r="D63" s="8" t="s">
        <v>434</v>
      </c>
    </row>
    <row r="64" customFormat="false" ht="15" hidden="false" customHeight="false" outlineLevel="0" collapsed="false">
      <c r="A64" s="8" t="s">
        <v>66</v>
      </c>
      <c r="B64" s="8" t="s">
        <v>1071</v>
      </c>
      <c r="C64" s="8" t="s">
        <v>1072</v>
      </c>
      <c r="D64" s="8" t="s">
        <v>365</v>
      </c>
    </row>
    <row r="65" customFormat="false" ht="15" hidden="false" customHeight="false" outlineLevel="0" collapsed="false">
      <c r="A65" s="8" t="s">
        <v>66</v>
      </c>
      <c r="B65" s="8" t="s">
        <v>1073</v>
      </c>
      <c r="C65" s="8" t="s">
        <v>1074</v>
      </c>
      <c r="D65" s="8" t="s">
        <v>365</v>
      </c>
    </row>
    <row r="66" customFormat="false" ht="15" hidden="false" customHeight="false" outlineLevel="0" collapsed="false">
      <c r="A66" s="8" t="s">
        <v>66</v>
      </c>
      <c r="B66" s="8" t="s">
        <v>403</v>
      </c>
      <c r="C66" s="8" t="s">
        <v>402</v>
      </c>
      <c r="D66" s="8" t="s">
        <v>401</v>
      </c>
    </row>
    <row r="67" customFormat="false" ht="15" hidden="false" customHeight="false" outlineLevel="0" collapsed="false">
      <c r="A67" s="8" t="s">
        <v>66</v>
      </c>
      <c r="B67" s="8" t="s">
        <v>1075</v>
      </c>
      <c r="C67" s="8" t="s">
        <v>1076</v>
      </c>
      <c r="D67" s="8" t="s">
        <v>1077</v>
      </c>
    </row>
    <row r="68" customFormat="false" ht="15" hidden="false" customHeight="false" outlineLevel="0" collapsed="false">
      <c r="A68" s="8" t="s">
        <v>66</v>
      </c>
      <c r="B68" s="8" t="s">
        <v>414</v>
      </c>
      <c r="C68" s="8" t="s">
        <v>413</v>
      </c>
      <c r="D68" s="8" t="s">
        <v>412</v>
      </c>
    </row>
    <row r="69" customFormat="false" ht="15" hidden="false" customHeight="false" outlineLevel="0" collapsed="false">
      <c r="A69" s="8" t="s">
        <v>66</v>
      </c>
      <c r="B69" s="8" t="s">
        <v>1078</v>
      </c>
      <c r="C69" s="8" t="s">
        <v>1079</v>
      </c>
      <c r="D69" s="8" t="s">
        <v>381</v>
      </c>
    </row>
    <row r="70" customFormat="false" ht="15" hidden="false" customHeight="false" outlineLevel="0" collapsed="false">
      <c r="A70" s="8" t="s">
        <v>66</v>
      </c>
      <c r="B70" s="8" t="s">
        <v>409</v>
      </c>
      <c r="C70" s="8" t="s">
        <v>408</v>
      </c>
      <c r="D70" s="8" t="s">
        <v>407</v>
      </c>
    </row>
    <row r="71" customFormat="false" ht="15" hidden="false" customHeight="false" outlineLevel="0" collapsed="false">
      <c r="A71" s="8" t="s">
        <v>66</v>
      </c>
      <c r="B71" s="8" t="s">
        <v>1080</v>
      </c>
      <c r="C71" s="8" t="s">
        <v>1081</v>
      </c>
      <c r="D71" s="8" t="s">
        <v>332</v>
      </c>
    </row>
    <row r="72" customFormat="false" ht="15" hidden="false" customHeight="false" outlineLevel="0" collapsed="false">
      <c r="A72" s="8" t="s">
        <v>66</v>
      </c>
      <c r="B72" s="8" t="s">
        <v>355</v>
      </c>
      <c r="C72" s="8" t="s">
        <v>354</v>
      </c>
      <c r="D72" s="8" t="s">
        <v>353</v>
      </c>
    </row>
    <row r="73" customFormat="false" ht="15" hidden="false" customHeight="false" outlineLevel="0" collapsed="false">
      <c r="A73" s="8" t="s">
        <v>66</v>
      </c>
      <c r="B73" s="8" t="s">
        <v>420</v>
      </c>
      <c r="C73" s="8" t="s">
        <v>419</v>
      </c>
      <c r="D73" s="8" t="s">
        <v>418</v>
      </c>
    </row>
    <row r="74" customFormat="false" ht="15" hidden="false" customHeight="false" outlineLevel="0" collapsed="false">
      <c r="A74" s="8" t="s">
        <v>66</v>
      </c>
      <c r="B74" s="8" t="s">
        <v>1082</v>
      </c>
      <c r="C74" s="8" t="s">
        <v>1083</v>
      </c>
      <c r="D74" s="8" t="s">
        <v>485</v>
      </c>
    </row>
    <row r="75" customFormat="false" ht="15" hidden="false" customHeight="false" outlineLevel="0" collapsed="false">
      <c r="A75" s="8" t="s">
        <v>66</v>
      </c>
      <c r="B75" s="8" t="s">
        <v>1084</v>
      </c>
      <c r="C75" s="8" t="s">
        <v>1085</v>
      </c>
      <c r="D75" s="8" t="s">
        <v>465</v>
      </c>
    </row>
    <row r="76" customFormat="false" ht="15" hidden="false" customHeight="false" outlineLevel="0" collapsed="false">
      <c r="A76" s="8" t="s">
        <v>66</v>
      </c>
      <c r="B76" s="8" t="s">
        <v>1086</v>
      </c>
      <c r="C76" s="8" t="s">
        <v>1087</v>
      </c>
      <c r="D76" s="8" t="s">
        <v>298</v>
      </c>
    </row>
    <row r="77" customFormat="false" ht="15" hidden="false" customHeight="false" outlineLevel="0" collapsed="false">
      <c r="A77" s="8" t="s">
        <v>66</v>
      </c>
      <c r="B77" s="8" t="s">
        <v>493</v>
      </c>
      <c r="C77" s="8" t="s">
        <v>1088</v>
      </c>
      <c r="D77" s="8" t="s">
        <v>491</v>
      </c>
    </row>
    <row r="78" customFormat="false" ht="15" hidden="false" customHeight="false" outlineLevel="0" collapsed="false">
      <c r="A78" s="8" t="s">
        <v>66</v>
      </c>
      <c r="B78" s="8" t="s">
        <v>1089</v>
      </c>
      <c r="C78" s="8" t="s">
        <v>1090</v>
      </c>
      <c r="D78" s="8" t="s">
        <v>485</v>
      </c>
    </row>
    <row r="79" customFormat="false" ht="15" hidden="false" customHeight="false" outlineLevel="0" collapsed="false">
      <c r="A79" s="8" t="s">
        <v>66</v>
      </c>
      <c r="B79" s="8" t="s">
        <v>1091</v>
      </c>
      <c r="C79" s="8" t="s">
        <v>1092</v>
      </c>
      <c r="D79" s="8" t="s">
        <v>280</v>
      </c>
    </row>
    <row r="80" customFormat="false" ht="15" hidden="false" customHeight="false" outlineLevel="0" collapsed="false">
      <c r="A80" s="8" t="s">
        <v>66</v>
      </c>
      <c r="B80" s="8" t="s">
        <v>1093</v>
      </c>
      <c r="C80" s="8" t="s">
        <v>1094</v>
      </c>
      <c r="D80" s="8" t="s">
        <v>280</v>
      </c>
    </row>
    <row r="81" customFormat="false" ht="15" hidden="false" customHeight="false" outlineLevel="0" collapsed="false">
      <c r="A81" s="8" t="s">
        <v>66</v>
      </c>
      <c r="B81" s="8" t="s">
        <v>431</v>
      </c>
      <c r="C81" s="8" t="s">
        <v>1095</v>
      </c>
      <c r="D81" s="8" t="s">
        <v>429</v>
      </c>
    </row>
    <row r="82" customFormat="false" ht="15" hidden="false" customHeight="false" outlineLevel="0" collapsed="false">
      <c r="A82" s="8" t="s">
        <v>66</v>
      </c>
      <c r="B82" s="8" t="s">
        <v>439</v>
      </c>
      <c r="C82" s="8" t="s">
        <v>1096</v>
      </c>
      <c r="D82" s="8" t="s">
        <v>437</v>
      </c>
    </row>
    <row r="83" customFormat="false" ht="15" hidden="false" customHeight="false" outlineLevel="0" collapsed="false">
      <c r="A83" s="8" t="s">
        <v>66</v>
      </c>
      <c r="B83" s="8" t="s">
        <v>453</v>
      </c>
      <c r="C83" s="8" t="s">
        <v>452</v>
      </c>
      <c r="D83" s="8" t="s">
        <v>1097</v>
      </c>
    </row>
    <row r="84" customFormat="false" ht="15" hidden="false" customHeight="false" outlineLevel="0" collapsed="false">
      <c r="A84" s="8" t="s">
        <v>66</v>
      </c>
      <c r="B84" s="8" t="s">
        <v>1098</v>
      </c>
      <c r="C84" s="8" t="s">
        <v>1099</v>
      </c>
      <c r="D84" s="8" t="s">
        <v>318</v>
      </c>
    </row>
    <row r="85" customFormat="false" ht="15" hidden="false" customHeight="false" outlineLevel="0" collapsed="false">
      <c r="A85" s="8" t="s">
        <v>66</v>
      </c>
      <c r="B85" s="8" t="s">
        <v>1100</v>
      </c>
      <c r="C85" s="8" t="s">
        <v>1101</v>
      </c>
      <c r="D85" s="8" t="s">
        <v>394</v>
      </c>
    </row>
    <row r="86" customFormat="false" ht="15" hidden="false" customHeight="false" outlineLevel="0" collapsed="false">
      <c r="A86" s="8" t="s">
        <v>66</v>
      </c>
      <c r="B86" s="8" t="s">
        <v>1102</v>
      </c>
      <c r="C86" s="8" t="s">
        <v>1103</v>
      </c>
      <c r="D86" s="8" t="s">
        <v>517</v>
      </c>
    </row>
    <row r="87" customFormat="false" ht="15" hidden="false" customHeight="false" outlineLevel="0" collapsed="false">
      <c r="A87" s="8" t="s">
        <v>66</v>
      </c>
      <c r="B87" s="8" t="s">
        <v>446</v>
      </c>
      <c r="C87" s="8" t="s">
        <v>1104</v>
      </c>
      <c r="D87" s="8" t="s">
        <v>1105</v>
      </c>
    </row>
    <row r="88" customFormat="false" ht="15" hidden="false" customHeight="false" outlineLevel="0" collapsed="false">
      <c r="A88" s="8" t="s">
        <v>528</v>
      </c>
      <c r="B88" s="8" t="s">
        <v>527</v>
      </c>
      <c r="C88" s="8" t="s">
        <v>1106</v>
      </c>
      <c r="D88" s="8" t="s">
        <v>1107</v>
      </c>
    </row>
    <row r="89" customFormat="false" ht="15" hidden="false" customHeight="false" outlineLevel="0" collapsed="false">
      <c r="A89" s="8" t="s">
        <v>528</v>
      </c>
      <c r="B89" s="8" t="s">
        <v>1108</v>
      </c>
      <c r="C89" s="8" t="s">
        <v>1109</v>
      </c>
      <c r="D89" s="8" t="s">
        <v>532</v>
      </c>
    </row>
    <row r="90" customFormat="false" ht="15" hidden="false" customHeight="false" outlineLevel="0" collapsed="false">
      <c r="A90" s="8" t="s">
        <v>528</v>
      </c>
      <c r="B90" s="8" t="s">
        <v>1110</v>
      </c>
      <c r="C90" s="8" t="s">
        <v>1111</v>
      </c>
      <c r="D90" s="8" t="s">
        <v>532</v>
      </c>
    </row>
    <row r="91" customFormat="false" ht="15" hidden="false" customHeight="false" outlineLevel="0" collapsed="false">
      <c r="A91" s="8" t="s">
        <v>528</v>
      </c>
      <c r="B91" s="8" t="s">
        <v>539</v>
      </c>
      <c r="C91" s="8" t="s">
        <v>1112</v>
      </c>
      <c r="D91" s="8" t="s">
        <v>537</v>
      </c>
    </row>
    <row r="92" customFormat="false" ht="15" hidden="false" customHeight="false" outlineLevel="0" collapsed="false">
      <c r="A92" s="8" t="s">
        <v>528</v>
      </c>
      <c r="B92" s="8" t="s">
        <v>1113</v>
      </c>
      <c r="C92" s="8" t="s">
        <v>1114</v>
      </c>
      <c r="D92" s="8" t="s">
        <v>542</v>
      </c>
    </row>
    <row r="93" customFormat="false" ht="15" hidden="false" customHeight="false" outlineLevel="0" collapsed="false">
      <c r="A93" s="8" t="s">
        <v>528</v>
      </c>
      <c r="B93" s="8" t="s">
        <v>1115</v>
      </c>
      <c r="C93" s="8" t="s">
        <v>1116</v>
      </c>
      <c r="D93" s="8" t="s">
        <v>542</v>
      </c>
    </row>
    <row r="94" customFormat="false" ht="15" hidden="false" customHeight="false" outlineLevel="0" collapsed="false">
      <c r="A94" s="8" t="s">
        <v>528</v>
      </c>
      <c r="B94" s="8" t="s">
        <v>549</v>
      </c>
      <c r="C94" s="8" t="s">
        <v>1117</v>
      </c>
      <c r="D94" s="8" t="s">
        <v>1118</v>
      </c>
    </row>
    <row r="95" customFormat="false" ht="15" hidden="false" customHeight="false" outlineLevel="0" collapsed="false">
      <c r="A95" s="8" t="s">
        <v>528</v>
      </c>
      <c r="B95" s="8" t="s">
        <v>1119</v>
      </c>
      <c r="C95" s="8" t="s">
        <v>1120</v>
      </c>
      <c r="D95" s="8" t="s">
        <v>552</v>
      </c>
    </row>
    <row r="96" customFormat="false" ht="15" hidden="false" customHeight="false" outlineLevel="0" collapsed="false">
      <c r="A96" s="8" t="s">
        <v>528</v>
      </c>
      <c r="B96" s="8" t="s">
        <v>1121</v>
      </c>
      <c r="C96" s="8" t="s">
        <v>1122</v>
      </c>
      <c r="D96" s="8" t="s">
        <v>552</v>
      </c>
    </row>
    <row r="97" customFormat="false" ht="15" hidden="false" customHeight="false" outlineLevel="0" collapsed="false">
      <c r="A97" s="8" t="s">
        <v>528</v>
      </c>
      <c r="B97" s="8" t="s">
        <v>1123</v>
      </c>
      <c r="C97" s="8" t="s">
        <v>1124</v>
      </c>
      <c r="D97" s="8" t="s">
        <v>552</v>
      </c>
    </row>
    <row r="98" customFormat="false" ht="15" hidden="false" customHeight="false" outlineLevel="0" collapsed="false">
      <c r="A98" s="8" t="s">
        <v>569</v>
      </c>
      <c r="B98" s="8" t="s">
        <v>1125</v>
      </c>
      <c r="C98" s="8" t="s">
        <v>1126</v>
      </c>
      <c r="D98" s="8" t="s">
        <v>1127</v>
      </c>
    </row>
    <row r="99" customFormat="false" ht="15" hidden="false" customHeight="false" outlineLevel="0" collapsed="false">
      <c r="A99" s="8" t="s">
        <v>569</v>
      </c>
      <c r="B99" s="8" t="s">
        <v>1128</v>
      </c>
      <c r="C99" s="8" t="s">
        <v>1129</v>
      </c>
      <c r="D99" s="8" t="s">
        <v>557</v>
      </c>
    </row>
    <row r="100" customFormat="false" ht="15" hidden="false" customHeight="false" outlineLevel="0" collapsed="false">
      <c r="A100" s="8" t="s">
        <v>569</v>
      </c>
      <c r="B100" s="8" t="s">
        <v>1130</v>
      </c>
      <c r="C100" s="8" t="s">
        <v>1131</v>
      </c>
      <c r="D100" s="8" t="s">
        <v>557</v>
      </c>
    </row>
    <row r="101" customFormat="false" ht="15" hidden="false" customHeight="false" outlineLevel="0" collapsed="false">
      <c r="A101" s="8" t="s">
        <v>569</v>
      </c>
      <c r="B101" s="8" t="s">
        <v>1132</v>
      </c>
      <c r="C101" s="8" t="s">
        <v>1133</v>
      </c>
      <c r="D101" s="8" t="s">
        <v>566</v>
      </c>
    </row>
    <row r="102" customFormat="false" ht="15" hidden="false" customHeight="false" outlineLevel="0" collapsed="false">
      <c r="A102" s="8" t="s">
        <v>569</v>
      </c>
      <c r="B102" s="8" t="s">
        <v>1134</v>
      </c>
      <c r="C102" s="8" t="s">
        <v>1135</v>
      </c>
      <c r="D102" s="8" t="s">
        <v>566</v>
      </c>
    </row>
    <row r="103" customFormat="false" ht="15" hidden="false" customHeight="false" outlineLevel="0" collapsed="false">
      <c r="A103" s="8" t="s">
        <v>569</v>
      </c>
      <c r="B103" s="8" t="s">
        <v>1136</v>
      </c>
      <c r="C103" s="8" t="s">
        <v>1137</v>
      </c>
      <c r="D103" s="8" t="s">
        <v>566</v>
      </c>
    </row>
    <row r="104" customFormat="false" ht="15" hidden="false" customHeight="false" outlineLevel="0" collapsed="false">
      <c r="A104" s="8" t="s">
        <v>569</v>
      </c>
      <c r="B104" s="8" t="s">
        <v>1138</v>
      </c>
      <c r="C104" s="8" t="s">
        <v>1139</v>
      </c>
      <c r="D104" s="8" t="s">
        <v>566</v>
      </c>
    </row>
    <row r="105" customFormat="false" ht="15" hidden="false" customHeight="false" outlineLevel="0" collapsed="false">
      <c r="A105" s="8" t="s">
        <v>569</v>
      </c>
      <c r="B105" s="8" t="s">
        <v>1140</v>
      </c>
      <c r="C105" s="8" t="s">
        <v>1141</v>
      </c>
      <c r="D105" s="8" t="s">
        <v>1142</v>
      </c>
    </row>
    <row r="106" customFormat="false" ht="15" hidden="false" customHeight="false" outlineLevel="0" collapsed="false">
      <c r="A106" s="8" t="s">
        <v>569</v>
      </c>
      <c r="B106" s="8" t="s">
        <v>1143</v>
      </c>
      <c r="C106" s="8" t="s">
        <v>1144</v>
      </c>
      <c r="D106" s="8" t="s">
        <v>574</v>
      </c>
    </row>
    <row r="107" customFormat="false" ht="15" hidden="false" customHeight="false" outlineLevel="0" collapsed="false">
      <c r="A107" s="8" t="s">
        <v>569</v>
      </c>
      <c r="B107" s="8" t="s">
        <v>581</v>
      </c>
      <c r="C107" s="8" t="s">
        <v>1145</v>
      </c>
      <c r="D107" s="8" t="s">
        <v>579</v>
      </c>
    </row>
    <row r="108" customFormat="false" ht="15" hidden="false" customHeight="false" outlineLevel="0" collapsed="false">
      <c r="A108" s="8" t="s">
        <v>569</v>
      </c>
      <c r="B108" s="8" t="s">
        <v>1146</v>
      </c>
      <c r="C108" s="8" t="s">
        <v>1147</v>
      </c>
      <c r="D108" s="8" t="s">
        <v>584</v>
      </c>
    </row>
    <row r="109" customFormat="false" ht="15" hidden="false" customHeight="false" outlineLevel="0" collapsed="false">
      <c r="A109" s="8" t="s">
        <v>569</v>
      </c>
      <c r="B109" s="8" t="s">
        <v>1148</v>
      </c>
      <c r="C109" s="8" t="s">
        <v>1149</v>
      </c>
      <c r="D109" s="8" t="s">
        <v>584</v>
      </c>
    </row>
    <row r="110" customFormat="false" ht="15" hidden="false" customHeight="false" outlineLevel="0" collapsed="false">
      <c r="A110" s="8" t="s">
        <v>569</v>
      </c>
      <c r="B110" s="8" t="s">
        <v>1150</v>
      </c>
      <c r="C110" s="8" t="s">
        <v>1151</v>
      </c>
      <c r="D110" s="8" t="s">
        <v>584</v>
      </c>
    </row>
    <row r="111" customFormat="false" ht="15" hidden="false" customHeight="false" outlineLevel="0" collapsed="false">
      <c r="A111" s="8" t="s">
        <v>569</v>
      </c>
      <c r="B111" s="8" t="s">
        <v>591</v>
      </c>
      <c r="C111" s="8" t="s">
        <v>1152</v>
      </c>
      <c r="D111" s="8" t="s">
        <v>589</v>
      </c>
    </row>
    <row r="112" customFormat="false" ht="15" hidden="false" customHeight="false" outlineLevel="0" collapsed="false">
      <c r="A112" s="8" t="s">
        <v>569</v>
      </c>
      <c r="B112" s="8" t="s">
        <v>1153</v>
      </c>
      <c r="C112" s="8" t="s">
        <v>1154</v>
      </c>
      <c r="D112" s="8" t="s">
        <v>318</v>
      </c>
    </row>
    <row r="113" customFormat="false" ht="15" hidden="false" customHeight="false" outlineLevel="0" collapsed="false">
      <c r="A113" s="8" t="s">
        <v>569</v>
      </c>
      <c r="B113" s="8" t="s">
        <v>1155</v>
      </c>
      <c r="C113" s="8" t="s">
        <v>1156</v>
      </c>
      <c r="D113" s="8" t="s">
        <v>594</v>
      </c>
    </row>
    <row r="114" customFormat="false" ht="15" hidden="false" customHeight="false" outlineLevel="0" collapsed="false">
      <c r="A114" s="8" t="s">
        <v>569</v>
      </c>
      <c r="B114" s="8" t="s">
        <v>1157</v>
      </c>
      <c r="C114" s="8" t="s">
        <v>1158</v>
      </c>
      <c r="D114" s="8" t="s">
        <v>594</v>
      </c>
    </row>
    <row r="115" customFormat="false" ht="15" hidden="false" customHeight="false" outlineLevel="0" collapsed="false">
      <c r="A115" s="8" t="s">
        <v>569</v>
      </c>
      <c r="B115" s="8" t="s">
        <v>1159</v>
      </c>
      <c r="C115" s="8" t="s">
        <v>1160</v>
      </c>
      <c r="D115" s="8" t="s">
        <v>601</v>
      </c>
    </row>
    <row r="116" customFormat="false" ht="15" hidden="false" customHeight="false" outlineLevel="0" collapsed="false">
      <c r="A116" s="8" t="s">
        <v>569</v>
      </c>
      <c r="B116" s="8" t="s">
        <v>1161</v>
      </c>
      <c r="C116" s="8" t="s">
        <v>1162</v>
      </c>
      <c r="D116" s="8" t="s">
        <v>601</v>
      </c>
    </row>
    <row r="117" customFormat="false" ht="15" hidden="false" customHeight="false" outlineLevel="0" collapsed="false">
      <c r="A117" s="8" t="s">
        <v>569</v>
      </c>
      <c r="B117" s="8" t="s">
        <v>1163</v>
      </c>
      <c r="C117" s="8" t="s">
        <v>1164</v>
      </c>
      <c r="D117" s="8" t="s">
        <v>601</v>
      </c>
    </row>
    <row r="118" customFormat="false" ht="15" hidden="false" customHeight="false" outlineLevel="0" collapsed="false">
      <c r="A118" s="8" t="s">
        <v>569</v>
      </c>
      <c r="B118" s="8" t="s">
        <v>1165</v>
      </c>
      <c r="C118" s="8" t="s">
        <v>1166</v>
      </c>
      <c r="D118" s="8" t="s">
        <v>606</v>
      </c>
    </row>
    <row r="119" customFormat="false" ht="15" hidden="false" customHeight="false" outlineLevel="0" collapsed="false">
      <c r="A119" s="8" t="s">
        <v>569</v>
      </c>
      <c r="B119" s="8" t="s">
        <v>1167</v>
      </c>
      <c r="C119" s="8" t="s">
        <v>1168</v>
      </c>
      <c r="D119" s="8" t="s">
        <v>606</v>
      </c>
    </row>
    <row r="120" customFormat="false" ht="15" hidden="false" customHeight="false" outlineLevel="0" collapsed="false">
      <c r="A120" s="8" t="s">
        <v>569</v>
      </c>
      <c r="B120" s="8" t="s">
        <v>1169</v>
      </c>
      <c r="C120" s="8" t="s">
        <v>1170</v>
      </c>
      <c r="D120" s="8" t="s">
        <v>606</v>
      </c>
    </row>
    <row r="121" customFormat="false" ht="15" hidden="false" customHeight="false" outlineLevel="0" collapsed="false">
      <c r="A121" s="8" t="s">
        <v>569</v>
      </c>
      <c r="B121" s="8" t="s">
        <v>1171</v>
      </c>
      <c r="C121" s="8" t="s">
        <v>1172</v>
      </c>
      <c r="D121" s="8" t="s">
        <v>613</v>
      </c>
    </row>
    <row r="122" customFormat="false" ht="15" hidden="false" customHeight="false" outlineLevel="0" collapsed="false">
      <c r="A122" s="8" t="s">
        <v>569</v>
      </c>
      <c r="B122" s="8" t="s">
        <v>1173</v>
      </c>
      <c r="C122" s="8" t="s">
        <v>1174</v>
      </c>
      <c r="D122" s="8" t="s">
        <v>613</v>
      </c>
    </row>
    <row r="123" customFormat="false" ht="15" hidden="false" customHeight="false" outlineLevel="0" collapsed="false">
      <c r="A123" s="8" t="s">
        <v>569</v>
      </c>
      <c r="B123" s="8" t="s">
        <v>1175</v>
      </c>
      <c r="C123" s="8" t="s">
        <v>1176</v>
      </c>
      <c r="D123" s="8" t="s">
        <v>613</v>
      </c>
    </row>
    <row r="124" customFormat="false" ht="15" hidden="false" customHeight="false" outlineLevel="0" collapsed="false">
      <c r="A124" s="8" t="s">
        <v>569</v>
      </c>
      <c r="B124" s="8" t="s">
        <v>1177</v>
      </c>
      <c r="C124" s="8" t="s">
        <v>1178</v>
      </c>
      <c r="D124" s="8" t="s">
        <v>620</v>
      </c>
    </row>
    <row r="125" customFormat="false" ht="15" hidden="false" customHeight="false" outlineLevel="0" collapsed="false">
      <c r="A125" s="8" t="s">
        <v>569</v>
      </c>
      <c r="B125" s="8" t="s">
        <v>1179</v>
      </c>
      <c r="C125" s="8" t="s">
        <v>1180</v>
      </c>
      <c r="D125" s="8" t="s">
        <v>1181</v>
      </c>
    </row>
    <row r="126" customFormat="false" ht="15" hidden="false" customHeight="false" outlineLevel="0" collapsed="false">
      <c r="A126" s="8" t="s">
        <v>569</v>
      </c>
      <c r="B126" s="8" t="s">
        <v>1182</v>
      </c>
      <c r="C126" s="8" t="s">
        <v>1183</v>
      </c>
      <c r="D126" s="8" t="s">
        <v>620</v>
      </c>
    </row>
    <row r="127" customFormat="false" ht="15" hidden="false" customHeight="false" outlineLevel="0" collapsed="false">
      <c r="A127" s="8" t="s">
        <v>569</v>
      </c>
      <c r="B127" s="8" t="s">
        <v>1184</v>
      </c>
      <c r="C127" s="8" t="s">
        <v>1185</v>
      </c>
      <c r="D127" s="8" t="s">
        <v>620</v>
      </c>
    </row>
    <row r="128" customFormat="false" ht="15" hidden="false" customHeight="false" outlineLevel="0" collapsed="false">
      <c r="A128" s="8" t="s">
        <v>631</v>
      </c>
      <c r="B128" s="8" t="s">
        <v>1186</v>
      </c>
      <c r="C128" s="8" t="s">
        <v>1187</v>
      </c>
      <c r="D128" s="8" t="s">
        <v>1188</v>
      </c>
    </row>
    <row r="129" customFormat="false" ht="15" hidden="false" customHeight="false" outlineLevel="0" collapsed="false">
      <c r="A129" s="8" t="s">
        <v>631</v>
      </c>
      <c r="B129" s="8" t="s">
        <v>645</v>
      </c>
      <c r="C129" s="8" t="s">
        <v>1189</v>
      </c>
      <c r="D129" s="8" t="s">
        <v>643</v>
      </c>
    </row>
    <row r="130" customFormat="false" ht="15" hidden="false" customHeight="false" outlineLevel="0" collapsed="false">
      <c r="A130" s="8" t="s">
        <v>631</v>
      </c>
      <c r="B130" s="8" t="s">
        <v>1190</v>
      </c>
      <c r="C130" s="8" t="s">
        <v>1191</v>
      </c>
      <c r="D130" s="8" t="s">
        <v>637</v>
      </c>
    </row>
    <row r="131" customFormat="false" ht="15" hidden="false" customHeight="false" outlineLevel="0" collapsed="false">
      <c r="A131" s="8" t="s">
        <v>631</v>
      </c>
      <c r="B131" s="8" t="s">
        <v>1192</v>
      </c>
      <c r="C131" s="8" t="s">
        <v>1193</v>
      </c>
      <c r="D131" s="8" t="s">
        <v>627</v>
      </c>
    </row>
    <row r="132" customFormat="false" ht="15" hidden="false" customHeight="false" outlineLevel="0" collapsed="false">
      <c r="A132" s="8" t="s">
        <v>631</v>
      </c>
      <c r="B132" s="8" t="s">
        <v>1194</v>
      </c>
      <c r="C132" s="8" t="s">
        <v>1195</v>
      </c>
      <c r="D132" s="8" t="s">
        <v>1196</v>
      </c>
    </row>
    <row r="133" customFormat="false" ht="15" hidden="false" customHeight="false" outlineLevel="0" collapsed="false">
      <c r="A133" s="8" t="s">
        <v>631</v>
      </c>
      <c r="B133" s="8" t="s">
        <v>650</v>
      </c>
      <c r="C133" s="8" t="s">
        <v>1197</v>
      </c>
      <c r="D133" s="8" t="s">
        <v>648</v>
      </c>
    </row>
    <row r="134" customFormat="false" ht="15" hidden="false" customHeight="false" outlineLevel="0" collapsed="false">
      <c r="A134" s="8" t="s">
        <v>631</v>
      </c>
      <c r="B134" s="8" t="s">
        <v>1198</v>
      </c>
      <c r="C134" s="8" t="s">
        <v>1199</v>
      </c>
      <c r="D134" s="8" t="s">
        <v>653</v>
      </c>
    </row>
    <row r="135" customFormat="false" ht="15" hidden="false" customHeight="false" outlineLevel="0" collapsed="false">
      <c r="A135" s="8" t="s">
        <v>631</v>
      </c>
      <c r="B135" s="8" t="s">
        <v>1200</v>
      </c>
      <c r="C135" s="8" t="s">
        <v>1201</v>
      </c>
      <c r="D135" s="8" t="s">
        <v>653</v>
      </c>
    </row>
    <row r="136" customFormat="false" ht="15" hidden="false" customHeight="false" outlineLevel="0" collapsed="false">
      <c r="A136" s="8" t="s">
        <v>631</v>
      </c>
      <c r="B136" s="8" t="s">
        <v>1202</v>
      </c>
      <c r="C136" s="8" t="s">
        <v>1203</v>
      </c>
      <c r="D136" s="8" t="s">
        <v>659</v>
      </c>
    </row>
    <row r="137" customFormat="false" ht="15" hidden="false" customHeight="false" outlineLevel="0" collapsed="false">
      <c r="A137" s="8" t="s">
        <v>631</v>
      </c>
      <c r="B137" s="8" t="s">
        <v>1204</v>
      </c>
      <c r="C137" s="8" t="s">
        <v>1205</v>
      </c>
      <c r="D137" s="8" t="s">
        <v>659</v>
      </c>
    </row>
    <row r="138" customFormat="false" ht="15" hidden="false" customHeight="false" outlineLevel="0" collapsed="false">
      <c r="A138" s="8" t="s">
        <v>631</v>
      </c>
      <c r="B138" s="8" t="s">
        <v>667</v>
      </c>
      <c r="C138" s="8" t="s">
        <v>1206</v>
      </c>
      <c r="D138" s="8" t="s">
        <v>665</v>
      </c>
    </row>
    <row r="139" customFormat="false" ht="15" hidden="false" customHeight="false" outlineLevel="0" collapsed="false">
      <c r="A139" s="8" t="s">
        <v>631</v>
      </c>
      <c r="B139" s="8" t="s">
        <v>1207</v>
      </c>
      <c r="C139" s="8" t="s">
        <v>1208</v>
      </c>
      <c r="D139" s="8" t="s">
        <v>670</v>
      </c>
    </row>
    <row r="140" customFormat="false" ht="15" hidden="false" customHeight="false" outlineLevel="0" collapsed="false">
      <c r="A140" s="8" t="s">
        <v>631</v>
      </c>
      <c r="B140" s="8" t="s">
        <v>1209</v>
      </c>
      <c r="C140" s="8" t="s">
        <v>1210</v>
      </c>
      <c r="D140" s="8" t="s">
        <v>675</v>
      </c>
    </row>
    <row r="141" customFormat="false" ht="15" hidden="false" customHeight="false" outlineLevel="0" collapsed="false">
      <c r="A141" s="8" t="s">
        <v>631</v>
      </c>
      <c r="B141" s="8" t="s">
        <v>1211</v>
      </c>
      <c r="C141" s="8" t="s">
        <v>1212</v>
      </c>
      <c r="D141" s="8" t="s">
        <v>675</v>
      </c>
    </row>
    <row r="142" customFormat="false" ht="15" hidden="false" customHeight="false" outlineLevel="0" collapsed="false">
      <c r="A142" s="8" t="s">
        <v>631</v>
      </c>
      <c r="B142" s="8" t="s">
        <v>1213</v>
      </c>
      <c r="C142" s="8" t="s">
        <v>1214</v>
      </c>
      <c r="D142" s="8" t="s">
        <v>675</v>
      </c>
    </row>
    <row r="143" customFormat="false" ht="15" hidden="false" customHeight="false" outlineLevel="0" collapsed="false">
      <c r="A143" s="8" t="s">
        <v>631</v>
      </c>
      <c r="B143" s="8" t="s">
        <v>682</v>
      </c>
      <c r="C143" s="8" t="s">
        <v>1215</v>
      </c>
      <c r="D143" s="8" t="s">
        <v>680</v>
      </c>
    </row>
    <row r="144" customFormat="false" ht="15" hidden="false" customHeight="false" outlineLevel="0" collapsed="false">
      <c r="A144" s="8" t="s">
        <v>631</v>
      </c>
      <c r="B144" s="8" t="s">
        <v>1216</v>
      </c>
      <c r="C144" s="8" t="s">
        <v>1217</v>
      </c>
      <c r="D144" s="8" t="s">
        <v>685</v>
      </c>
    </row>
    <row r="145" customFormat="false" ht="15" hidden="false" customHeight="false" outlineLevel="0" collapsed="false">
      <c r="A145" s="8" t="s">
        <v>631</v>
      </c>
      <c r="B145" s="8" t="s">
        <v>1218</v>
      </c>
      <c r="C145" s="8" t="s">
        <v>1219</v>
      </c>
      <c r="D145" s="8" t="s">
        <v>685</v>
      </c>
    </row>
    <row r="146" customFormat="false" ht="15" hidden="false" customHeight="false" outlineLevel="0" collapsed="false">
      <c r="A146" s="8" t="s">
        <v>631</v>
      </c>
      <c r="B146" s="8" t="s">
        <v>692</v>
      </c>
      <c r="C146" s="8" t="s">
        <v>1220</v>
      </c>
      <c r="D146" s="8" t="s">
        <v>690</v>
      </c>
    </row>
    <row r="147" customFormat="false" ht="15" hidden="false" customHeight="false" outlineLevel="0" collapsed="false">
      <c r="A147" s="8" t="s">
        <v>631</v>
      </c>
      <c r="B147" s="8" t="s">
        <v>1221</v>
      </c>
      <c r="C147" s="8" t="s">
        <v>1222</v>
      </c>
      <c r="D147" s="8" t="s">
        <v>670</v>
      </c>
    </row>
    <row r="148" customFormat="false" ht="15" hidden="false" customHeight="false" outlineLevel="0" collapsed="false">
      <c r="A148" s="8" t="s">
        <v>631</v>
      </c>
      <c r="B148" s="8" t="s">
        <v>1223</v>
      </c>
      <c r="C148" s="8" t="s">
        <v>1224</v>
      </c>
      <c r="D148" s="8" t="s">
        <v>695</v>
      </c>
    </row>
    <row r="149" customFormat="false" ht="15" hidden="false" customHeight="false" outlineLevel="0" collapsed="false">
      <c r="A149" s="8" t="s">
        <v>631</v>
      </c>
      <c r="B149" s="8" t="s">
        <v>1225</v>
      </c>
      <c r="C149" s="8" t="s">
        <v>1226</v>
      </c>
      <c r="D149" s="8" t="s">
        <v>700</v>
      </c>
    </row>
    <row r="150" customFormat="false" ht="15" hidden="false" customHeight="false" outlineLevel="0" collapsed="false">
      <c r="A150" s="8" t="s">
        <v>631</v>
      </c>
      <c r="B150" s="8" t="s">
        <v>1227</v>
      </c>
      <c r="C150" s="8" t="s">
        <v>1228</v>
      </c>
      <c r="D150" s="8" t="s">
        <v>700</v>
      </c>
    </row>
    <row r="151" customFormat="false" ht="15" hidden="false" customHeight="false" outlineLevel="0" collapsed="false">
      <c r="A151" s="8" t="s">
        <v>631</v>
      </c>
      <c r="B151" s="8" t="s">
        <v>1229</v>
      </c>
      <c r="C151" s="8" t="s">
        <v>1230</v>
      </c>
      <c r="D151" s="8" t="s">
        <v>695</v>
      </c>
    </row>
    <row r="152" customFormat="false" ht="15" hidden="false" customHeight="false" outlineLevel="0" collapsed="false">
      <c r="A152" s="8" t="s">
        <v>631</v>
      </c>
      <c r="B152" s="8" t="s">
        <v>1231</v>
      </c>
      <c r="C152" s="8" t="s">
        <v>1232</v>
      </c>
      <c r="D152" s="8" t="s">
        <v>700</v>
      </c>
    </row>
    <row r="153" customFormat="false" ht="15" hidden="false" customHeight="false" outlineLevel="0" collapsed="false">
      <c r="A153" s="8" t="s">
        <v>631</v>
      </c>
      <c r="B153" s="8" t="s">
        <v>707</v>
      </c>
      <c r="C153" s="8" t="s">
        <v>1233</v>
      </c>
      <c r="D153" s="8" t="s">
        <v>705</v>
      </c>
    </row>
    <row r="154" customFormat="false" ht="15" hidden="false" customHeight="false" outlineLevel="0" collapsed="false">
      <c r="A154" s="8" t="s">
        <v>716</v>
      </c>
      <c r="B154" s="8" t="s">
        <v>1234</v>
      </c>
      <c r="C154" s="8" t="s">
        <v>1235</v>
      </c>
      <c r="D154" s="8" t="s">
        <v>1236</v>
      </c>
    </row>
    <row r="155" customFormat="false" ht="15" hidden="false" customHeight="false" outlineLevel="0" collapsed="false">
      <c r="A155" s="8" t="s">
        <v>716</v>
      </c>
      <c r="B155" s="8" t="s">
        <v>1237</v>
      </c>
      <c r="C155" s="8" t="s">
        <v>1238</v>
      </c>
      <c r="D155" s="8" t="s">
        <v>731</v>
      </c>
    </row>
    <row r="156" customFormat="false" ht="15" hidden="false" customHeight="false" outlineLevel="0" collapsed="false">
      <c r="A156" s="8" t="s">
        <v>716</v>
      </c>
      <c r="B156" s="8" t="s">
        <v>1239</v>
      </c>
      <c r="C156" s="8" t="s">
        <v>1240</v>
      </c>
      <c r="D156" s="8" t="s">
        <v>719</v>
      </c>
    </row>
    <row r="157" customFormat="false" ht="15" hidden="false" customHeight="false" outlineLevel="0" collapsed="false">
      <c r="A157" s="8" t="s">
        <v>716</v>
      </c>
      <c r="B157" s="8" t="s">
        <v>1241</v>
      </c>
      <c r="C157" s="8" t="s">
        <v>1242</v>
      </c>
      <c r="D157" s="8" t="s">
        <v>725</v>
      </c>
    </row>
    <row r="158" customFormat="false" ht="15" hidden="false" customHeight="false" outlineLevel="0" collapsed="false">
      <c r="A158" s="8" t="s">
        <v>716</v>
      </c>
      <c r="B158" s="8" t="s">
        <v>1243</v>
      </c>
      <c r="C158" s="8" t="s">
        <v>1244</v>
      </c>
      <c r="D158" s="8" t="s">
        <v>731</v>
      </c>
    </row>
    <row r="159" customFormat="false" ht="15" hidden="false" customHeight="false" outlineLevel="0" collapsed="false">
      <c r="A159" s="8" t="s">
        <v>716</v>
      </c>
      <c r="B159" s="8" t="s">
        <v>1245</v>
      </c>
      <c r="C159" s="8" t="s">
        <v>1246</v>
      </c>
      <c r="D159" s="8" t="s">
        <v>741</v>
      </c>
    </row>
    <row r="160" customFormat="false" ht="15" hidden="false" customHeight="false" outlineLevel="0" collapsed="false">
      <c r="A160" s="8" t="s">
        <v>716</v>
      </c>
      <c r="B160" s="8" t="s">
        <v>1247</v>
      </c>
      <c r="C160" s="8" t="s">
        <v>1248</v>
      </c>
      <c r="D160" s="8" t="s">
        <v>741</v>
      </c>
    </row>
    <row r="161" customFormat="false" ht="15" hidden="false" customHeight="false" outlineLevel="0" collapsed="false">
      <c r="A161" s="8" t="s">
        <v>716</v>
      </c>
      <c r="B161" s="8" t="s">
        <v>761</v>
      </c>
      <c r="C161" s="8" t="s">
        <v>1249</v>
      </c>
      <c r="D161" s="8" t="s">
        <v>759</v>
      </c>
    </row>
    <row r="162" customFormat="false" ht="15" hidden="false" customHeight="false" outlineLevel="0" collapsed="false">
      <c r="A162" s="8" t="s">
        <v>716</v>
      </c>
      <c r="B162" s="8" t="s">
        <v>1250</v>
      </c>
      <c r="C162" s="8" t="s">
        <v>1251</v>
      </c>
      <c r="D162" s="8" t="s">
        <v>736</v>
      </c>
    </row>
    <row r="163" customFormat="false" ht="15" hidden="false" customHeight="false" outlineLevel="0" collapsed="false">
      <c r="A163" s="8" t="s">
        <v>716</v>
      </c>
      <c r="B163" s="8" t="s">
        <v>1252</v>
      </c>
      <c r="C163" s="8" t="s">
        <v>1253</v>
      </c>
      <c r="D163" s="8" t="s">
        <v>736</v>
      </c>
    </row>
    <row r="164" customFormat="false" ht="15" hidden="false" customHeight="false" outlineLevel="0" collapsed="false">
      <c r="A164" s="8" t="s">
        <v>716</v>
      </c>
      <c r="B164" s="8" t="s">
        <v>1254</v>
      </c>
      <c r="C164" s="8" t="s">
        <v>1255</v>
      </c>
      <c r="D164" s="8" t="s">
        <v>725</v>
      </c>
    </row>
    <row r="165" customFormat="false" ht="15" hidden="false" customHeight="false" outlineLevel="0" collapsed="false">
      <c r="A165" s="8" t="s">
        <v>716</v>
      </c>
      <c r="B165" s="8" t="s">
        <v>1256</v>
      </c>
      <c r="C165" s="8" t="s">
        <v>1257</v>
      </c>
      <c r="D165" s="8" t="s">
        <v>746</v>
      </c>
    </row>
    <row r="166" customFormat="false" ht="15" hidden="false" customHeight="false" outlineLevel="0" collapsed="false">
      <c r="A166" s="8" t="s">
        <v>716</v>
      </c>
      <c r="B166" s="8" t="s">
        <v>1258</v>
      </c>
      <c r="C166" s="8" t="s">
        <v>1259</v>
      </c>
      <c r="D166" s="8" t="s">
        <v>746</v>
      </c>
    </row>
    <row r="167" customFormat="false" ht="15" hidden="false" customHeight="false" outlineLevel="0" collapsed="false">
      <c r="A167" s="8" t="s">
        <v>716</v>
      </c>
      <c r="B167" s="8" t="s">
        <v>753</v>
      </c>
      <c r="C167" s="8" t="s">
        <v>1260</v>
      </c>
      <c r="D167" s="8" t="s">
        <v>751</v>
      </c>
    </row>
    <row r="168" customFormat="false" ht="15" hidden="false" customHeight="false" outlineLevel="0" collapsed="false">
      <c r="A168" s="8" t="s">
        <v>716</v>
      </c>
      <c r="B168" s="8" t="s">
        <v>1261</v>
      </c>
      <c r="C168" s="8" t="s">
        <v>1262</v>
      </c>
      <c r="D168" s="8" t="s">
        <v>712</v>
      </c>
    </row>
    <row r="169" customFormat="false" ht="15" hidden="false" customHeight="false" outlineLevel="0" collapsed="false">
      <c r="A169" s="8" t="s">
        <v>716</v>
      </c>
      <c r="B169" s="8" t="s">
        <v>1263</v>
      </c>
      <c r="C169" s="8" t="s">
        <v>1264</v>
      </c>
      <c r="D169" s="8" t="s">
        <v>712</v>
      </c>
    </row>
    <row r="170" customFormat="false" ht="15" hidden="false" customHeight="false" outlineLevel="0" collapsed="false">
      <c r="A170" s="8" t="s">
        <v>716</v>
      </c>
      <c r="B170" s="8" t="s">
        <v>1265</v>
      </c>
      <c r="C170" s="8" t="s">
        <v>1266</v>
      </c>
      <c r="D170" s="8" t="s">
        <v>719</v>
      </c>
    </row>
    <row r="171" customFormat="false" ht="15" hidden="false" customHeight="false" outlineLevel="0" collapsed="false">
      <c r="A171" s="8" t="s">
        <v>716</v>
      </c>
      <c r="B171" s="8" t="s">
        <v>1267</v>
      </c>
      <c r="C171" s="8" t="s">
        <v>1268</v>
      </c>
      <c r="D171" s="8" t="s">
        <v>766</v>
      </c>
    </row>
    <row r="172" customFormat="false" ht="15" hidden="false" customHeight="false" outlineLevel="0" collapsed="false">
      <c r="A172" s="8" t="s">
        <v>716</v>
      </c>
      <c r="B172" s="8" t="s">
        <v>1269</v>
      </c>
      <c r="C172" s="8" t="s">
        <v>1270</v>
      </c>
      <c r="D172" s="8" t="s">
        <v>766</v>
      </c>
    </row>
    <row r="173" customFormat="false" ht="15" hidden="false" customHeight="false" outlineLevel="0" collapsed="false">
      <c r="A173" s="8" t="s">
        <v>777</v>
      </c>
      <c r="B173" s="8" t="s">
        <v>1271</v>
      </c>
      <c r="C173" s="8" t="s">
        <v>1272</v>
      </c>
      <c r="D173" s="8" t="s">
        <v>817</v>
      </c>
    </row>
    <row r="174" customFormat="false" ht="15" hidden="false" customHeight="false" outlineLevel="0" collapsed="false">
      <c r="A174" s="8" t="s">
        <v>777</v>
      </c>
      <c r="B174" s="8" t="s">
        <v>1273</v>
      </c>
      <c r="C174" s="8" t="s">
        <v>1274</v>
      </c>
      <c r="D174" s="8" t="s">
        <v>1275</v>
      </c>
    </row>
    <row r="175" customFormat="false" ht="15" hidden="false" customHeight="false" outlineLevel="0" collapsed="false">
      <c r="A175" s="8" t="s">
        <v>777</v>
      </c>
      <c r="B175" s="8" t="s">
        <v>1276</v>
      </c>
      <c r="C175" s="8" t="s">
        <v>1277</v>
      </c>
      <c r="D175" s="8" t="s">
        <v>798</v>
      </c>
    </row>
    <row r="176" customFormat="false" ht="15" hidden="false" customHeight="false" outlineLevel="0" collapsed="false">
      <c r="A176" s="8" t="s">
        <v>777</v>
      </c>
      <c r="B176" s="8" t="s">
        <v>1278</v>
      </c>
      <c r="C176" s="8" t="s">
        <v>1279</v>
      </c>
      <c r="D176" s="8" t="s">
        <v>1280</v>
      </c>
    </row>
    <row r="177" customFormat="false" ht="15" hidden="false" customHeight="false" outlineLevel="0" collapsed="false">
      <c r="A177" s="8" t="s">
        <v>777</v>
      </c>
      <c r="B177" s="8" t="s">
        <v>1281</v>
      </c>
      <c r="C177" s="8" t="s">
        <v>1282</v>
      </c>
      <c r="D177" s="8" t="s">
        <v>793</v>
      </c>
    </row>
    <row r="178" customFormat="false" ht="15" hidden="false" customHeight="false" outlineLevel="0" collapsed="false">
      <c r="A178" s="8" t="s">
        <v>777</v>
      </c>
      <c r="B178" s="8" t="s">
        <v>1283</v>
      </c>
      <c r="C178" s="8" t="s">
        <v>1284</v>
      </c>
      <c r="D178" s="8" t="s">
        <v>780</v>
      </c>
    </row>
    <row r="179" customFormat="false" ht="15" hidden="false" customHeight="false" outlineLevel="0" collapsed="false">
      <c r="A179" s="8" t="s">
        <v>777</v>
      </c>
      <c r="B179" s="8" t="s">
        <v>1285</v>
      </c>
      <c r="C179" s="8" t="s">
        <v>1286</v>
      </c>
      <c r="D179" s="8" t="s">
        <v>788</v>
      </c>
    </row>
    <row r="180" customFormat="false" ht="15" hidden="false" customHeight="false" outlineLevel="0" collapsed="false">
      <c r="A180" s="8" t="s">
        <v>777</v>
      </c>
      <c r="B180" s="8" t="s">
        <v>1287</v>
      </c>
      <c r="C180" s="8" t="s">
        <v>1288</v>
      </c>
      <c r="D180" s="8" t="s">
        <v>803</v>
      </c>
    </row>
    <row r="181" customFormat="false" ht="15" hidden="false" customHeight="false" outlineLevel="0" collapsed="false">
      <c r="A181" s="8" t="s">
        <v>777</v>
      </c>
      <c r="B181" s="8" t="s">
        <v>1289</v>
      </c>
      <c r="C181" s="8" t="s">
        <v>1290</v>
      </c>
      <c r="D181" s="8" t="s">
        <v>803</v>
      </c>
    </row>
    <row r="182" customFormat="false" ht="15" hidden="false" customHeight="false" outlineLevel="0" collapsed="false">
      <c r="A182" s="8" t="s">
        <v>777</v>
      </c>
      <c r="B182" s="8" t="s">
        <v>813</v>
      </c>
      <c r="C182" s="8" t="s">
        <v>1291</v>
      </c>
      <c r="D182" s="8" t="s">
        <v>811</v>
      </c>
    </row>
    <row r="183" customFormat="false" ht="15" hidden="false" customHeight="false" outlineLevel="0" collapsed="false">
      <c r="A183" s="8" t="s">
        <v>777</v>
      </c>
      <c r="B183" s="8" t="s">
        <v>1292</v>
      </c>
      <c r="C183" s="8" t="s">
        <v>1293</v>
      </c>
      <c r="D183" s="8" t="s">
        <v>793</v>
      </c>
    </row>
    <row r="184" customFormat="false" ht="15" hidden="false" customHeight="false" outlineLevel="0" collapsed="false">
      <c r="A184" s="8" t="s">
        <v>777</v>
      </c>
      <c r="B184" s="8" t="s">
        <v>1294</v>
      </c>
      <c r="C184" s="8" t="s">
        <v>1295</v>
      </c>
      <c r="D184" s="8" t="s">
        <v>780</v>
      </c>
    </row>
    <row r="185" customFormat="false" ht="15" hidden="false" customHeight="false" outlineLevel="0" collapsed="false">
      <c r="A185" s="8" t="s">
        <v>777</v>
      </c>
      <c r="B185" s="8" t="s">
        <v>1296</v>
      </c>
      <c r="C185" s="8" t="s">
        <v>1297</v>
      </c>
      <c r="D185" s="8" t="s">
        <v>780</v>
      </c>
    </row>
    <row r="186" customFormat="false" ht="15" hidden="false" customHeight="false" outlineLevel="0" collapsed="false">
      <c r="A186" s="8" t="s">
        <v>777</v>
      </c>
      <c r="B186" s="8" t="s">
        <v>1298</v>
      </c>
      <c r="C186" s="8" t="s">
        <v>1299</v>
      </c>
      <c r="D186" s="8" t="s">
        <v>788</v>
      </c>
    </row>
    <row r="187" customFormat="false" ht="15" hidden="false" customHeight="false" outlineLevel="0" collapsed="false">
      <c r="A187" s="8" t="s">
        <v>777</v>
      </c>
      <c r="B187" s="8" t="s">
        <v>1300</v>
      </c>
      <c r="C187" s="8" t="s">
        <v>1301</v>
      </c>
      <c r="D187" s="8" t="s">
        <v>817</v>
      </c>
    </row>
    <row r="188" customFormat="false" ht="15" hidden="false" customHeight="false" outlineLevel="0" collapsed="false">
      <c r="A188" s="8" t="s">
        <v>777</v>
      </c>
      <c r="B188" s="8" t="s">
        <v>1302</v>
      </c>
      <c r="C188" s="8" t="s">
        <v>1303</v>
      </c>
      <c r="D188" s="8" t="s">
        <v>773</v>
      </c>
    </row>
    <row r="189" customFormat="false" ht="15" hidden="false" customHeight="false" outlineLevel="0" collapsed="false">
      <c r="A189" s="8" t="s">
        <v>777</v>
      </c>
      <c r="B189" s="8" t="s">
        <v>1304</v>
      </c>
      <c r="C189" s="8" t="s">
        <v>1305</v>
      </c>
      <c r="D189" s="8" t="s">
        <v>798</v>
      </c>
    </row>
    <row r="190" customFormat="false" ht="15" hidden="false" customHeight="false" outlineLevel="0" collapsed="false">
      <c r="A190" s="8" t="s">
        <v>777</v>
      </c>
      <c r="B190" s="8" t="s">
        <v>1306</v>
      </c>
      <c r="C190" s="8" t="s">
        <v>1307</v>
      </c>
      <c r="D190" s="8" t="s">
        <v>785</v>
      </c>
    </row>
    <row r="191" customFormat="false" ht="15" hidden="false" customHeight="false" outlineLevel="0" collapsed="false">
      <c r="A191" s="8" t="s">
        <v>777</v>
      </c>
      <c r="B191" s="8" t="s">
        <v>1308</v>
      </c>
      <c r="C191" s="8" t="s">
        <v>1309</v>
      </c>
      <c r="D191" s="8" t="s">
        <v>785</v>
      </c>
    </row>
    <row r="192" customFormat="false" ht="15" hidden="false" customHeight="false" outlineLevel="0" collapsed="false">
      <c r="A192" s="8" t="s">
        <v>777</v>
      </c>
      <c r="B192" s="8" t="s">
        <v>1310</v>
      </c>
      <c r="C192" s="8" t="s">
        <v>1311</v>
      </c>
      <c r="D192" s="8" t="s">
        <v>808</v>
      </c>
    </row>
    <row r="193" customFormat="false" ht="15" hidden="false" customHeight="false" outlineLevel="0" collapsed="false">
      <c r="A193" s="8" t="s">
        <v>777</v>
      </c>
      <c r="B193" s="8" t="s">
        <v>1312</v>
      </c>
      <c r="C193" s="8" t="s">
        <v>1313</v>
      </c>
      <c r="D193" s="8" t="s">
        <v>808</v>
      </c>
    </row>
    <row r="194" customFormat="false" ht="15" hidden="false" customHeight="false" outlineLevel="0" collapsed="false">
      <c r="A194" s="8" t="s">
        <v>777</v>
      </c>
      <c r="B194" s="8" t="s">
        <v>834</v>
      </c>
      <c r="C194" s="8" t="s">
        <v>1314</v>
      </c>
      <c r="D194" s="8" t="s">
        <v>822</v>
      </c>
    </row>
    <row r="195" customFormat="false" ht="15" hidden="false" customHeight="false" outlineLevel="0" collapsed="false">
      <c r="A195" s="8" t="s">
        <v>777</v>
      </c>
      <c r="B195" s="8" t="s">
        <v>1315</v>
      </c>
      <c r="C195" s="8" t="s">
        <v>1316</v>
      </c>
      <c r="D195" s="8" t="s">
        <v>837</v>
      </c>
    </row>
    <row r="196" customFormat="false" ht="15" hidden="false" customHeight="false" outlineLevel="0" collapsed="false">
      <c r="A196" s="8" t="s">
        <v>777</v>
      </c>
      <c r="B196" s="8" t="s">
        <v>1317</v>
      </c>
      <c r="C196" s="8" t="s">
        <v>1318</v>
      </c>
      <c r="D196" s="8" t="s">
        <v>837</v>
      </c>
    </row>
    <row r="197" customFormat="false" ht="15" hidden="false" customHeight="false" outlineLevel="0" collapsed="false">
      <c r="A197" s="8" t="s">
        <v>777</v>
      </c>
      <c r="B197" s="8" t="s">
        <v>846</v>
      </c>
      <c r="C197" s="8" t="s">
        <v>1319</v>
      </c>
      <c r="D197" s="8" t="s">
        <v>844</v>
      </c>
    </row>
    <row r="198" customFormat="false" ht="15" hidden="false" customHeight="false" outlineLevel="0" collapsed="false">
      <c r="A198" s="8" t="s">
        <v>83</v>
      </c>
      <c r="B198" s="8" t="s">
        <v>1320</v>
      </c>
      <c r="C198" s="8" t="s">
        <v>1321</v>
      </c>
      <c r="D198" s="8" t="s">
        <v>1322</v>
      </c>
    </row>
    <row r="199" customFormat="false" ht="15" hidden="false" customHeight="false" outlineLevel="0" collapsed="false">
      <c r="A199" s="8" t="s">
        <v>83</v>
      </c>
      <c r="B199" s="8" t="s">
        <v>1323</v>
      </c>
      <c r="C199" s="8" t="s">
        <v>1324</v>
      </c>
      <c r="D199" s="8" t="s">
        <v>1325</v>
      </c>
    </row>
    <row r="200" customFormat="false" ht="15" hidden="false" customHeight="false" outlineLevel="0" collapsed="false">
      <c r="A200" s="8" t="s">
        <v>83</v>
      </c>
      <c r="B200" s="8" t="s">
        <v>1326</v>
      </c>
      <c r="C200" s="8" t="s">
        <v>1327</v>
      </c>
      <c r="D200" s="8" t="s">
        <v>1328</v>
      </c>
    </row>
    <row r="201" customFormat="false" ht="15" hidden="false" customHeight="false" outlineLevel="0" collapsed="false">
      <c r="A201" s="8" t="s">
        <v>83</v>
      </c>
      <c r="B201" s="8" t="s">
        <v>1329</v>
      </c>
      <c r="C201" s="8" t="s">
        <v>1330</v>
      </c>
      <c r="D201" s="8" t="s">
        <v>756</v>
      </c>
    </row>
    <row r="202" customFormat="false" ht="15" hidden="false" customHeight="false" outlineLevel="0" collapsed="false">
      <c r="A202" s="8" t="s">
        <v>83</v>
      </c>
      <c r="B202" s="8" t="s">
        <v>1331</v>
      </c>
      <c r="C202" s="8" t="s">
        <v>1332</v>
      </c>
      <c r="D202" s="8" t="s">
        <v>877</v>
      </c>
    </row>
    <row r="203" customFormat="false" ht="15" hidden="false" customHeight="false" outlineLevel="0" collapsed="false">
      <c r="A203" s="8" t="s">
        <v>83</v>
      </c>
      <c r="B203" s="8" t="s">
        <v>1333</v>
      </c>
      <c r="C203" s="8" t="s">
        <v>1334</v>
      </c>
      <c r="D203" s="8" t="s">
        <v>1335</v>
      </c>
    </row>
    <row r="204" customFormat="false" ht="15" hidden="false" customHeight="false" outlineLevel="0" collapsed="false">
      <c r="A204" s="8" t="s">
        <v>83</v>
      </c>
      <c r="B204" s="8" t="s">
        <v>1336</v>
      </c>
      <c r="C204" s="8" t="s">
        <v>1337</v>
      </c>
      <c r="D204" s="8" t="s">
        <v>887</v>
      </c>
    </row>
    <row r="205" customFormat="false" ht="15" hidden="false" customHeight="false" outlineLevel="0" collapsed="false">
      <c r="A205" s="8" t="s">
        <v>83</v>
      </c>
      <c r="B205" s="8" t="s">
        <v>903</v>
      </c>
      <c r="C205" s="8" t="s">
        <v>1338</v>
      </c>
      <c r="D205" s="8" t="s">
        <v>901</v>
      </c>
    </row>
    <row r="206" customFormat="false" ht="15" hidden="false" customHeight="false" outlineLevel="0" collapsed="false">
      <c r="A206" s="8" t="s">
        <v>83</v>
      </c>
      <c r="B206" s="8" t="s">
        <v>1339</v>
      </c>
      <c r="C206" s="8" t="s">
        <v>1340</v>
      </c>
      <c r="D206" s="8" t="s">
        <v>894</v>
      </c>
    </row>
    <row r="207" customFormat="false" ht="15" hidden="false" customHeight="false" outlineLevel="0" collapsed="false">
      <c r="A207" s="8" t="s">
        <v>83</v>
      </c>
      <c r="B207" s="8" t="s">
        <v>1341</v>
      </c>
      <c r="C207" s="8" t="s">
        <v>1342</v>
      </c>
      <c r="D207" s="8" t="s">
        <v>894</v>
      </c>
    </row>
    <row r="208" customFormat="false" ht="15" hidden="false" customHeight="false" outlineLevel="0" collapsed="false">
      <c r="A208" s="8" t="s">
        <v>83</v>
      </c>
      <c r="B208" s="8" t="s">
        <v>1343</v>
      </c>
      <c r="C208" s="8" t="s">
        <v>1344</v>
      </c>
      <c r="D208" s="8" t="s">
        <v>906</v>
      </c>
    </row>
    <row r="209" customFormat="false" ht="15" hidden="false" customHeight="false" outlineLevel="0" collapsed="false">
      <c r="A209" s="8" t="s">
        <v>83</v>
      </c>
      <c r="B209" s="8" t="s">
        <v>1345</v>
      </c>
      <c r="C209" s="8" t="s">
        <v>1346</v>
      </c>
      <c r="D209" s="8" t="s">
        <v>911</v>
      </c>
    </row>
    <row r="210" customFormat="false" ht="15" hidden="false" customHeight="false" outlineLevel="0" collapsed="false">
      <c r="A210" s="8" t="s">
        <v>83</v>
      </c>
      <c r="B210" s="8" t="s">
        <v>1347</v>
      </c>
      <c r="C210" s="8" t="s">
        <v>1348</v>
      </c>
      <c r="D210" s="8" t="s">
        <v>856</v>
      </c>
    </row>
    <row r="211" customFormat="false" ht="15" hidden="false" customHeight="false" outlineLevel="0" collapsed="false">
      <c r="A211" s="8" t="s">
        <v>83</v>
      </c>
      <c r="B211" s="8" t="s">
        <v>1349</v>
      </c>
      <c r="C211" s="8" t="s">
        <v>1350</v>
      </c>
      <c r="D211" s="8" t="s">
        <v>911</v>
      </c>
    </row>
    <row r="212" customFormat="false" ht="15" hidden="false" customHeight="false" outlineLevel="0" collapsed="false">
      <c r="A212" s="8" t="s">
        <v>83</v>
      </c>
      <c r="B212" s="8" t="s">
        <v>1351</v>
      </c>
      <c r="C212" s="8" t="s">
        <v>1352</v>
      </c>
      <c r="D212" s="8" t="s">
        <v>887</v>
      </c>
    </row>
    <row r="213" customFormat="false" ht="15" hidden="false" customHeight="false" outlineLevel="0" collapsed="false">
      <c r="A213" s="8" t="s">
        <v>83</v>
      </c>
      <c r="B213" s="8" t="s">
        <v>1353</v>
      </c>
      <c r="C213" s="8" t="s">
        <v>1354</v>
      </c>
      <c r="D213" s="8" t="s">
        <v>906</v>
      </c>
    </row>
    <row r="214" customFormat="false" ht="15" hidden="false" customHeight="false" outlineLevel="0" collapsed="false">
      <c r="A214" s="8" t="s">
        <v>83</v>
      </c>
      <c r="B214" s="8" t="s">
        <v>1355</v>
      </c>
      <c r="C214" s="8" t="s">
        <v>1356</v>
      </c>
      <c r="D214" s="8" t="s">
        <v>916</v>
      </c>
    </row>
    <row r="215" customFormat="false" ht="15" hidden="false" customHeight="false" outlineLevel="0" collapsed="false">
      <c r="A215" s="8" t="s">
        <v>83</v>
      </c>
      <c r="B215" s="8" t="s">
        <v>1357</v>
      </c>
      <c r="C215" s="8" t="s">
        <v>1358</v>
      </c>
      <c r="D215" s="8" t="s">
        <v>882</v>
      </c>
    </row>
    <row r="216" customFormat="false" ht="15" hidden="false" customHeight="false" outlineLevel="0" collapsed="false">
      <c r="A216" s="8" t="s">
        <v>83</v>
      </c>
      <c r="B216" s="8" t="s">
        <v>1359</v>
      </c>
      <c r="C216" s="8" t="s">
        <v>1360</v>
      </c>
      <c r="D216" s="8" t="s">
        <v>863</v>
      </c>
    </row>
    <row r="217" customFormat="false" ht="15" hidden="false" customHeight="false" outlineLevel="0" collapsed="false">
      <c r="A217" s="8" t="s">
        <v>83</v>
      </c>
      <c r="B217" s="8" t="s">
        <v>1361</v>
      </c>
      <c r="C217" s="8" t="s">
        <v>1362</v>
      </c>
      <c r="D217" s="8" t="s">
        <v>1363</v>
      </c>
    </row>
    <row r="218" customFormat="false" ht="15" hidden="false" customHeight="false" outlineLevel="0" collapsed="false">
      <c r="A218" s="8" t="s">
        <v>83</v>
      </c>
      <c r="B218" s="8" t="s">
        <v>1364</v>
      </c>
      <c r="C218" s="8" t="s">
        <v>1365</v>
      </c>
      <c r="D218" s="8" t="s">
        <v>916</v>
      </c>
    </row>
    <row r="219" customFormat="false" ht="15" hidden="false" customHeight="false" outlineLevel="0" collapsed="false">
      <c r="A219" s="8" t="s">
        <v>83</v>
      </c>
      <c r="B219" s="8" t="s">
        <v>1366</v>
      </c>
      <c r="C219" s="8" t="s">
        <v>1367</v>
      </c>
      <c r="D219" s="8" t="s">
        <v>921</v>
      </c>
    </row>
    <row r="220" customFormat="false" ht="15" hidden="false" customHeight="false" outlineLevel="0" collapsed="false">
      <c r="A220" s="8" t="s">
        <v>83</v>
      </c>
      <c r="B220" s="8" t="s">
        <v>927</v>
      </c>
      <c r="C220" s="8" t="s">
        <v>1368</v>
      </c>
      <c r="D220" s="8" t="s">
        <v>764</v>
      </c>
    </row>
    <row r="221" customFormat="false" ht="15" hidden="false" customHeight="false" outlineLevel="0" collapsed="false">
      <c r="A221" s="8" t="s">
        <v>83</v>
      </c>
      <c r="B221" s="8" t="s">
        <v>1369</v>
      </c>
      <c r="C221" s="8" t="s">
        <v>1370</v>
      </c>
      <c r="D221" s="8" t="s">
        <v>756</v>
      </c>
    </row>
    <row r="222" customFormat="false" ht="15" hidden="false" customHeight="false" outlineLevel="0" collapsed="false">
      <c r="A222" s="8" t="s">
        <v>83</v>
      </c>
      <c r="B222" s="8" t="s">
        <v>932</v>
      </c>
      <c r="C222" s="8" t="s">
        <v>1371</v>
      </c>
      <c r="D222" s="8" t="s">
        <v>930</v>
      </c>
    </row>
    <row r="223" customFormat="false" ht="15" hidden="false" customHeight="false" outlineLevel="0" collapsed="false">
      <c r="A223" s="8" t="s">
        <v>83</v>
      </c>
      <c r="B223" s="8" t="s">
        <v>1372</v>
      </c>
      <c r="C223" s="8" t="s">
        <v>1373</v>
      </c>
      <c r="D223" s="8" t="s">
        <v>863</v>
      </c>
    </row>
    <row r="224" customFormat="false" ht="15" hidden="false" customHeight="false" outlineLevel="0" collapsed="false">
      <c r="A224" s="8" t="s">
        <v>83</v>
      </c>
      <c r="B224" s="8" t="s">
        <v>871</v>
      </c>
      <c r="C224" s="8" t="s">
        <v>1374</v>
      </c>
      <c r="D224" s="8" t="s">
        <v>869</v>
      </c>
    </row>
    <row r="225" customFormat="false" ht="15" hidden="false" customHeight="false" outlineLevel="0" collapsed="false">
      <c r="A225" s="8" t="s">
        <v>83</v>
      </c>
      <c r="B225" s="8" t="s">
        <v>1375</v>
      </c>
      <c r="C225" s="8" t="s">
        <v>1376</v>
      </c>
      <c r="D225" s="8" t="s">
        <v>90</v>
      </c>
    </row>
    <row r="226" customFormat="false" ht="15" hidden="false" customHeight="false" outlineLevel="0" collapsed="false">
      <c r="A226" s="8" t="s">
        <v>83</v>
      </c>
      <c r="B226" s="8" t="s">
        <v>1377</v>
      </c>
      <c r="C226" s="8" t="s">
        <v>1378</v>
      </c>
      <c r="D226" s="8" t="s">
        <v>1335</v>
      </c>
    </row>
    <row r="227" customFormat="false" ht="15" hidden="false" customHeight="false" outlineLevel="0" collapsed="false">
      <c r="A227" s="8" t="s">
        <v>83</v>
      </c>
      <c r="B227" s="8" t="s">
        <v>1379</v>
      </c>
      <c r="C227" s="8" t="s">
        <v>1380</v>
      </c>
      <c r="D227" s="8" t="s">
        <v>1381</v>
      </c>
    </row>
    <row r="228" customFormat="false" ht="15" hidden="false" customHeight="false" outlineLevel="0" collapsed="false">
      <c r="A228" s="8" t="s">
        <v>110</v>
      </c>
      <c r="B228" s="8" t="s">
        <v>200</v>
      </c>
      <c r="C228" s="8" t="s">
        <v>1382</v>
      </c>
      <c r="D228" s="8" t="s">
        <v>198</v>
      </c>
    </row>
    <row r="229" customFormat="false" ht="15" hidden="false" customHeight="false" outlineLevel="0" collapsed="false">
      <c r="A229" s="8" t="s">
        <v>110</v>
      </c>
      <c r="B229" s="8" t="s">
        <v>1383</v>
      </c>
      <c r="C229" s="8" t="s">
        <v>1384</v>
      </c>
      <c r="D229" s="8" t="s">
        <v>148</v>
      </c>
    </row>
    <row r="230" customFormat="false" ht="15" hidden="false" customHeight="false" outlineLevel="0" collapsed="false">
      <c r="A230" s="8" t="s">
        <v>110</v>
      </c>
      <c r="B230" s="8" t="s">
        <v>1385</v>
      </c>
      <c r="C230" s="8" t="s">
        <v>1386</v>
      </c>
      <c r="D230" s="8" t="s">
        <v>1387</v>
      </c>
    </row>
    <row r="231" customFormat="false" ht="15" hidden="false" customHeight="false" outlineLevel="0" collapsed="false">
      <c r="A231" s="8" t="s">
        <v>110</v>
      </c>
      <c r="B231" s="8" t="s">
        <v>155</v>
      </c>
      <c r="C231" s="8" t="s">
        <v>1388</v>
      </c>
      <c r="D231" s="8" t="s">
        <v>153</v>
      </c>
    </row>
    <row r="232" customFormat="false" ht="15" hidden="false" customHeight="false" outlineLevel="0" collapsed="false">
      <c r="A232" s="8" t="s">
        <v>110</v>
      </c>
      <c r="B232" s="8" t="s">
        <v>1389</v>
      </c>
      <c r="C232" s="8" t="s">
        <v>1390</v>
      </c>
      <c r="D232" s="8" t="s">
        <v>184</v>
      </c>
    </row>
    <row r="233" customFormat="false" ht="15" hidden="false" customHeight="false" outlineLevel="0" collapsed="false">
      <c r="A233" s="8" t="s">
        <v>110</v>
      </c>
      <c r="B233" s="8" t="s">
        <v>1391</v>
      </c>
      <c r="C233" s="8" t="s">
        <v>1392</v>
      </c>
      <c r="D233" s="8" t="s">
        <v>184</v>
      </c>
    </row>
    <row r="234" customFormat="false" ht="15" hidden="false" customHeight="false" outlineLevel="0" collapsed="false">
      <c r="A234" s="8" t="s">
        <v>110</v>
      </c>
      <c r="B234" s="8" t="s">
        <v>1393</v>
      </c>
      <c r="C234" s="8" t="s">
        <v>1394</v>
      </c>
      <c r="D234" s="8" t="s">
        <v>1395</v>
      </c>
    </row>
    <row r="235" customFormat="false" ht="15" hidden="false" customHeight="false" outlineLevel="0" collapsed="false">
      <c r="A235" s="8" t="s">
        <v>110</v>
      </c>
      <c r="B235" s="8" t="s">
        <v>1396</v>
      </c>
      <c r="C235" s="8" t="s">
        <v>1397</v>
      </c>
      <c r="D235" s="8" t="s">
        <v>1395</v>
      </c>
    </row>
    <row r="236" customFormat="false" ht="15" hidden="false" customHeight="false" outlineLevel="0" collapsed="false">
      <c r="A236" s="8" t="s">
        <v>110</v>
      </c>
      <c r="B236" s="8" t="s">
        <v>1398</v>
      </c>
      <c r="C236" s="8" t="s">
        <v>1399</v>
      </c>
      <c r="D236" s="8" t="s">
        <v>172</v>
      </c>
    </row>
    <row r="237" customFormat="false" ht="15" hidden="false" customHeight="false" outlineLevel="0" collapsed="false">
      <c r="A237" s="8" t="s">
        <v>110</v>
      </c>
      <c r="B237" s="8" t="s">
        <v>160</v>
      </c>
      <c r="C237" s="8" t="s">
        <v>1400</v>
      </c>
      <c r="D237" s="8" t="s">
        <v>158</v>
      </c>
    </row>
    <row r="238" customFormat="false" ht="15" hidden="false" customHeight="false" outlineLevel="0" collapsed="false">
      <c r="A238" s="8" t="s">
        <v>110</v>
      </c>
      <c r="B238" s="8" t="s">
        <v>1401</v>
      </c>
      <c r="C238" s="8" t="s">
        <v>1402</v>
      </c>
      <c r="D238" s="8" t="s">
        <v>148</v>
      </c>
    </row>
    <row r="239" customFormat="false" ht="15" hidden="false" customHeight="false" outlineLevel="0" collapsed="false">
      <c r="A239" s="8" t="s">
        <v>110</v>
      </c>
      <c r="B239" s="8" t="s">
        <v>1403</v>
      </c>
      <c r="C239" s="8" t="s">
        <v>1404</v>
      </c>
      <c r="D239" s="8" t="s">
        <v>921</v>
      </c>
    </row>
    <row r="240" customFormat="false" ht="15" hidden="false" customHeight="false" outlineLevel="0" collapsed="false">
      <c r="A240" s="8" t="s">
        <v>110</v>
      </c>
      <c r="B240" s="8" t="s">
        <v>145</v>
      </c>
      <c r="C240" s="8" t="s">
        <v>1405</v>
      </c>
      <c r="D240" s="8" t="s">
        <v>1406</v>
      </c>
    </row>
  </sheetData>
  <autoFilter ref="A1:D2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2026-10-15T21:54:25Z</dcterms:created>
  <dc:creator>openpyxl</dc:creator>
  <dc:description/>
  <dc:language>en-US</dc:language>
  <cp:lastModifiedBy/>
  <dcterms:modified xsi:type="dcterms:W3CDTF">2026-10-15T21:54:25Z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